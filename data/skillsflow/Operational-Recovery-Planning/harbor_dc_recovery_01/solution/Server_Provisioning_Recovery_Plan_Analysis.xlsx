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Current Capacity and Racks" sheetId="1" state="visible" r:id="rId1"/>
    <sheet xmlns:r="http://schemas.openxmlformats.org/officeDocument/2006/relationships" name="Relocated Network Equipment" sheetId="2" state="visible" r:id="rId2"/>
    <sheet xmlns:r="http://schemas.openxmlformats.org/officeDocument/2006/relationships" name="10 hr Shift Relocate Network Eq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">
    <font>
      <name val="Arial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16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16" fontId="2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5" borderId="0" applyAlignment="1" pivotButton="0" quotePrefix="0" xfId="0">
      <alignment horizontal="center"/>
    </xf>
    <xf numFmtId="1" fontId="1" fillId="5" borderId="4" applyAlignment="1" pivotButton="0" quotePrefix="0" xfId="0">
      <alignment horizontal="center"/>
    </xf>
    <xf numFmtId="1" fontId="2" fillId="5" borderId="0" applyAlignment="1" pivotButton="0" quotePrefix="0" xfId="0">
      <alignment horizontal="center"/>
    </xf>
    <xf numFmtId="1" fontId="1" fillId="0" borderId="0" pivotButton="0" quotePrefix="0" xfId="0"/>
    <xf numFmtId="16" fontId="1" fillId="4" borderId="4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1" fontId="1" fillId="4" borderId="4" applyAlignment="1" pivotButton="0" quotePrefix="0" xfId="0">
      <alignment horizontal="center"/>
    </xf>
    <xf numFmtId="1" fontId="1" fillId="4" borderId="0" pivotButton="0" quotePrefix="0" xfId="0"/>
    <xf numFmtId="16" fontId="1" fillId="4" borderId="5" applyAlignment="1" pivotButton="0" quotePrefix="0" xfId="0">
      <alignment horizontal="center"/>
    </xf>
    <xf numFmtId="1" fontId="1" fillId="4" borderId="6" applyAlignment="1" pivotButton="0" quotePrefix="0" xfId="0">
      <alignment horizontal="center"/>
    </xf>
    <xf numFmtId="1" fontId="1" fillId="4" borderId="5" applyAlignment="1" pivotButton="0" quotePrefix="0" xfId="0">
      <alignment horizontal="center"/>
    </xf>
    <xf numFmtId="1" fontId="1" fillId="4" borderId="6" pivotButton="0" quotePrefix="0" xfId="0"/>
    <xf numFmtId="1" fontId="1" fillId="0" borderId="2" applyAlignment="1" pivotButton="0" quotePrefix="0" xfId="0">
      <alignment horizontal="center"/>
    </xf>
    <xf numFmtId="1" fontId="1" fillId="0" borderId="2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1" fillId="0" borderId="2" pivotButton="0" quotePrefix="0" xfId="0"/>
    <xf numFmtId="1" fontId="1" fillId="0" borderId="4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" fontId="2" fillId="0" borderId="4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2" fillId="0" borderId="3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164" fontId="1" fillId="0" borderId="8" applyAlignment="1" pivotButton="0" quotePrefix="0" xfId="0">
      <alignment horizontal="center"/>
    </xf>
    <xf numFmtId="164" fontId="1" fillId="5" borderId="8" applyAlignment="1" pivotButton="0" quotePrefix="0" xfId="0">
      <alignment horizontal="center"/>
    </xf>
    <xf numFmtId="164" fontId="1" fillId="4" borderId="8" pivotButton="0" quotePrefix="0" xfId="0"/>
    <xf numFmtId="164" fontId="1" fillId="4" borderId="9" pivotButton="0" quotePrefix="0" xfId="0"/>
    <xf numFmtId="164" fontId="1" fillId="0" borderId="7" applyAlignment="1" pivotButton="0" quotePrefix="0" xfId="0">
      <alignment horizontal="center"/>
    </xf>
    <xf numFmtId="164" fontId="1" fillId="4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8"/>
  <sheetViews>
    <sheetView tabSelected="1" zoomScaleNormal="100" zoomScaleSheetLayoutView="50" workbookViewId="0">
      <pane xSplit="2" ySplit="3" topLeftCell="C4" activePane="bottomRight" state="frozen"/>
      <selection pane="topRight" activeCell="C1" sqref="C1"/>
      <selection pane="bottomLeft" activeCell="A35" sqref="A35"/>
      <selection pane="bottomRigh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10.7109375" bestFit="1" customWidth="1" style="1" min="9" max="9"/>
    <col width="11" customWidth="1" style="38" min="10" max="10"/>
    <col width="52.855468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Rack-Mount Web Servers</t>
        </is>
      </c>
      <c r="D2" s="7" t="n"/>
      <c r="E2" s="8" t="n"/>
      <c r="F2" s="9" t="inlineStr">
        <is>
          <t>Blade Database Servers</t>
        </is>
      </c>
      <c r="G2" s="9" t="n"/>
      <c r="H2" s="10" t="n"/>
      <c r="I2" s="39" t="inlineStr">
        <is>
          <t>Network Appliances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35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35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20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35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35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5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9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3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35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9" t="n">
        <v>0</v>
      </c>
      <c r="D13" s="19" t="n"/>
      <c r="E13" s="19">
        <f>D13-C13+E12</f>
        <v/>
      </c>
      <c r="F13" s="20" t="n">
        <v>0</v>
      </c>
      <c r="G13" s="19" t="n"/>
      <c r="H13" s="19">
        <f>G13-F13+H12</f>
        <v/>
      </c>
      <c r="I13" s="21" t="n">
        <v>100</v>
      </c>
      <c r="J13" s="45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35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n"/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35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5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9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3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35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9" t="n">
        <v>0</v>
      </c>
      <c r="D20" s="19" t="n"/>
      <c r="E20" s="19">
        <f>D20-C20+E19</f>
        <v/>
      </c>
      <c r="F20" s="20" t="n">
        <v>0</v>
      </c>
      <c r="G20" s="19" t="n"/>
      <c r="H20" s="19">
        <f>G20-F20+H19</f>
        <v/>
      </c>
      <c r="I20" s="21" t="n">
        <v>100</v>
      </c>
      <c r="J20" s="45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35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35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5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9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3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35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35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35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9" t="n">
        <v>0</v>
      </c>
      <c r="D29" s="19" t="n"/>
      <c r="E29" s="19">
        <f>D29-C29+E28</f>
        <v/>
      </c>
      <c r="F29" s="20" t="n">
        <v>0</v>
      </c>
      <c r="G29" s="19" t="n"/>
      <c r="H29" s="19">
        <f>G29-F29+H28</f>
        <v/>
      </c>
      <c r="I29" s="21" t="n">
        <v>100</v>
      </c>
      <c r="J29" s="45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5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9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5" t="n">
        <v>0</v>
      </c>
      <c r="G32" s="24" t="n"/>
      <c r="H32" s="24">
        <f>G32-F32+H31</f>
        <v/>
      </c>
      <c r="I32" s="26" t="n"/>
      <c r="J32" s="49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35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35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35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135</v>
      </c>
      <c r="D36" s="18" t="n"/>
      <c r="E36" s="18">
        <f>D36-C36+E35</f>
        <v/>
      </c>
      <c r="F36" s="35" t="n">
        <v>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5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9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9" t="n">
        <v>0</v>
      </c>
      <c r="D39" s="19" t="n"/>
      <c r="E39" s="19">
        <f>D39-C39+E38</f>
        <v/>
      </c>
      <c r="F39" s="20" t="n">
        <v>0</v>
      </c>
      <c r="G39" s="19" t="n"/>
      <c r="H39" s="19">
        <f>G39-F39+H38</f>
        <v/>
      </c>
      <c r="I39" s="21" t="n">
        <v>100</v>
      </c>
      <c r="J39" s="45">
        <f>C39+F39+I39</f>
        <v/>
      </c>
    </row>
    <row r="40">
      <c r="B40" s="37">
        <f>B39+1</f>
        <v/>
      </c>
      <c r="C40" s="18" t="n">
        <v>135</v>
      </c>
      <c r="D40" s="18" t="n"/>
      <c r="E40" s="18">
        <f>D40-C40+E39</f>
        <v/>
      </c>
      <c r="F40" s="35" t="n">
        <v>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135</v>
      </c>
      <c r="D41" s="18" t="n"/>
      <c r="E41" s="18">
        <f>D41-C41+E40</f>
        <v/>
      </c>
      <c r="F41" s="35" t="n">
        <v>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35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9" t="n">
        <v>0</v>
      </c>
      <c r="D43" s="19" t="n"/>
      <c r="E43" s="19">
        <f>D43-C43+E42</f>
        <v/>
      </c>
      <c r="F43" s="20" t="n">
        <v>0</v>
      </c>
      <c r="G43" s="19" t="n"/>
      <c r="H43" s="19">
        <f>G43-F43+H42</f>
        <v/>
      </c>
      <c r="I43" s="21" t="n">
        <v>100</v>
      </c>
      <c r="J43" s="45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5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9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3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35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9" t="n">
        <v>0</v>
      </c>
      <c r="D48" s="19" t="n"/>
      <c r="E48" s="19">
        <f>D48-C48+E47</f>
        <v/>
      </c>
      <c r="F48" s="20" t="n">
        <v>0</v>
      </c>
      <c r="G48" s="19" t="n"/>
      <c r="H48" s="19">
        <f>G48-F48+H47</f>
        <v/>
      </c>
      <c r="I48" s="21" t="n">
        <v>100</v>
      </c>
      <c r="J48" s="45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35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35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5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9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3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35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35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35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35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5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9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3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9" t="n">
        <v>0</v>
      </c>
      <c r="D61" s="19" t="n"/>
      <c r="E61" s="19">
        <f>D61-C61+E60</f>
        <v/>
      </c>
      <c r="F61" s="20" t="n">
        <v>0</v>
      </c>
      <c r="G61" s="19" t="n"/>
      <c r="H61" s="19">
        <f>G61-F61+H60</f>
        <v/>
      </c>
      <c r="I61" s="21" t="n">
        <v>100</v>
      </c>
      <c r="J61" s="45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35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35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35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5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9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3" t="n">
        <v>135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0</v>
      </c>
      <c r="D68" s="18" t="n"/>
      <c r="E68" s="18">
        <f>D68-C68+E67</f>
        <v/>
      </c>
      <c r="F68" s="35" t="n">
        <v>135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0</v>
      </c>
      <c r="D69" s="18" t="n"/>
      <c r="E69" s="18">
        <f>D69-C69+E68</f>
        <v/>
      </c>
      <c r="F69" s="35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9" t="n">
        <v>0</v>
      </c>
      <c r="D70" s="19" t="n"/>
      <c r="E70" s="19">
        <f>D70-C70+E69</f>
        <v/>
      </c>
      <c r="F70" s="20" t="n">
        <v>0</v>
      </c>
      <c r="G70" s="19" t="n"/>
      <c r="H70" s="19">
        <f>G70-F70+H69</f>
        <v/>
      </c>
      <c r="I70" s="21" t="n">
        <v>100</v>
      </c>
      <c r="J70" s="45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5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5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9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3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35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35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9" t="n">
        <v>0</v>
      </c>
      <c r="D77" s="19" t="n"/>
      <c r="E77" s="19">
        <f>D77-C77+E76</f>
        <v/>
      </c>
      <c r="F77" s="20" t="n">
        <v>0</v>
      </c>
      <c r="G77" s="19" t="n"/>
      <c r="H77" s="19">
        <f>G77-F77+H76</f>
        <v/>
      </c>
      <c r="I77" s="21" t="n">
        <v>100</v>
      </c>
      <c r="J77" s="45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35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5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9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3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135</v>
      </c>
      <c r="D82" s="18" t="n"/>
      <c r="E82" s="18">
        <f>D82-C82+E81</f>
        <v/>
      </c>
      <c r="F82" s="35" t="n">
        <v>0</v>
      </c>
      <c r="G82" s="18" t="n"/>
      <c r="H82" s="18">
        <f>G82-F82+H81</f>
        <v/>
      </c>
      <c r="I82" s="22" t="n"/>
      <c r="J82" s="44">
        <f>C82+F82+I82</f>
        <v/>
      </c>
      <c r="K82" s="40" t="n"/>
    </row>
    <row r="83">
      <c r="B83" s="37">
        <f>B82+1</f>
        <v/>
      </c>
      <c r="C83" s="18" t="n">
        <v>135</v>
      </c>
      <c r="D83" s="18" t="n"/>
      <c r="E83" s="18">
        <f>D83-C83+E82</f>
        <v/>
      </c>
      <c r="F83" s="35" t="n">
        <v>0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9" t="n">
        <v>0</v>
      </c>
      <c r="D84" s="19" t="n"/>
      <c r="E84" s="19">
        <f>D84-C84+E83</f>
        <v/>
      </c>
      <c r="F84" s="20" t="n">
        <v>0</v>
      </c>
      <c r="G84" s="19" t="n"/>
      <c r="H84" s="19">
        <f>G84-F84+H83</f>
        <v/>
      </c>
      <c r="I84" s="21" t="n">
        <v>100</v>
      </c>
      <c r="J84" s="45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135</v>
      </c>
      <c r="D85" s="18" t="n"/>
      <c r="E85" s="18">
        <f>D85-C85+E84</f>
        <v/>
      </c>
      <c r="F85" s="35" t="n">
        <v>0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5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9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135</v>
      </c>
      <c r="D88" s="32" t="n"/>
      <c r="E88" s="32">
        <f>D88-C88+E87</f>
        <v/>
      </c>
      <c r="F88" s="33" t="n">
        <v>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35" t="n">
        <v>0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35" t="n">
        <v>0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9" t="n">
        <v>0</v>
      </c>
      <c r="D91" s="19" t="n"/>
      <c r="E91" s="19">
        <f>D91-C91+E90</f>
        <v/>
      </c>
      <c r="F91" s="20" t="n">
        <v>0</v>
      </c>
      <c r="G91" s="19" t="n"/>
      <c r="H91" s="19">
        <f>G91-F91+H90</f>
        <v/>
      </c>
      <c r="I91" s="21" t="n">
        <v>100</v>
      </c>
      <c r="J91" s="45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35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5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9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3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15</v>
      </c>
      <c r="D96" s="18" t="n"/>
      <c r="E96" s="18">
        <f>D96-C96+E95</f>
        <v/>
      </c>
      <c r="F96" s="35" t="n">
        <v>120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0</v>
      </c>
      <c r="D97" s="18" t="n"/>
      <c r="E97" s="18">
        <f>D97-C97+E96</f>
        <v/>
      </c>
      <c r="F97" s="35" t="n">
        <v>135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9" t="n">
        <v>0</v>
      </c>
      <c r="D98" s="19" t="n"/>
      <c r="E98" s="19">
        <f>D98-C98+E97</f>
        <v/>
      </c>
      <c r="F98" s="20" t="n">
        <v>0</v>
      </c>
      <c r="G98" s="19" t="n"/>
      <c r="H98" s="19">
        <f>G98-F98+H97</f>
        <v/>
      </c>
      <c r="I98" s="21" t="n">
        <v>100</v>
      </c>
      <c r="J98" s="45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35" t="n">
        <v>135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5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9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3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35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35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9" t="n">
        <v>0</v>
      </c>
      <c r="D105" s="19" t="n"/>
      <c r="E105" s="19">
        <f>D105-C105+E104</f>
        <v/>
      </c>
      <c r="F105" s="20" t="n">
        <v>0</v>
      </c>
      <c r="G105" s="19" t="n"/>
      <c r="H105" s="19">
        <f>G105-F105+H104</f>
        <v/>
      </c>
      <c r="I105" s="21" t="n">
        <v>100</v>
      </c>
      <c r="J105" s="45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35" t="n">
        <v>135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5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9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22" activePane="bottomLeft" state="frozen"/>
      <selection pane="bottomLef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Rack-Mount Web Servers</t>
        </is>
      </c>
      <c r="D2" s="7" t="n"/>
      <c r="E2" s="8" t="n"/>
      <c r="F2" s="9" t="inlineStr">
        <is>
          <t>Blade Database Servers</t>
        </is>
      </c>
      <c r="G2" s="9" t="n"/>
      <c r="H2" s="10" t="n"/>
      <c r="I2" s="39" t="inlineStr">
        <is>
          <t>Network Appliances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135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135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18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18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18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135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135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135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135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135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2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135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2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18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18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18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18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2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0</v>
      </c>
      <c r="D61" s="18" t="n"/>
      <c r="E61" s="18">
        <f>D61-C61+E60</f>
        <v/>
      </c>
      <c r="F61" s="18" t="n">
        <v>135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135</v>
      </c>
      <c r="D62" s="18" t="n"/>
      <c r="E62" s="18">
        <f>D62-C62+E61</f>
        <v/>
      </c>
      <c r="F62" s="18" t="n">
        <v>0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135</v>
      </c>
      <c r="D63" s="18" t="n"/>
      <c r="E63" s="18">
        <f>D63-C63+E62</f>
        <v/>
      </c>
      <c r="F63" s="18" t="n">
        <v>0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135</v>
      </c>
      <c r="D64" s="18" t="n"/>
      <c r="E64" s="18">
        <f>D64-C64+E63</f>
        <v/>
      </c>
      <c r="F64" s="18" t="n">
        <v>0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135</v>
      </c>
      <c r="D67" s="32" t="n"/>
      <c r="E67" s="32">
        <f>D67-C67+E66</f>
        <v/>
      </c>
      <c r="F67" s="32" t="n">
        <v>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0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135</v>
      </c>
      <c r="D77" s="18" t="n"/>
      <c r="E77" s="18">
        <f>D77-C77+E76</f>
        <v/>
      </c>
      <c r="F77" s="18" t="n">
        <v>0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18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2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30</v>
      </c>
      <c r="D82" s="18" t="n"/>
      <c r="E82" s="18">
        <f>D82-C82+E81</f>
        <v/>
      </c>
      <c r="F82" s="18" t="n">
        <v>105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135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0</v>
      </c>
      <c r="D89" s="18" t="n"/>
      <c r="E89" s="18">
        <f>D89-C89+E88</f>
        <v/>
      </c>
      <c r="F89" s="18" t="n">
        <v>135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0</v>
      </c>
      <c r="D90" s="18" t="n"/>
      <c r="E90" s="18">
        <f>D90-C90+E89</f>
        <v/>
      </c>
      <c r="F90" s="18" t="n">
        <v>135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135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>
        <v>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135</v>
      </c>
      <c r="D97" s="18" t="n"/>
      <c r="E97" s="18">
        <f>D97-C97+E96</f>
        <v/>
      </c>
      <c r="F97" s="18" t="n">
        <v>0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135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90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135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15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4" activePane="bottomLeft" state="frozen"/>
      <selection pane="bottomLeft" activeCell="H10" sqref="H10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Rack-Mount Web Servers</t>
        </is>
      </c>
      <c r="D2" s="7" t="n"/>
      <c r="E2" s="8" t="n"/>
      <c r="F2" s="9" t="inlineStr">
        <is>
          <t>Blade Database Servers</t>
        </is>
      </c>
      <c r="G2" s="9" t="n"/>
      <c r="H2" s="10" t="n"/>
      <c r="I2" s="39" t="inlineStr">
        <is>
          <t>Network Appliances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170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 &amp; starting of 10 hour shifts</t>
        </is>
      </c>
    </row>
    <row r="19">
      <c r="B19" s="37">
        <f>B18+1</f>
        <v/>
      </c>
      <c r="C19" s="18" t="n">
        <v>170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170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170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170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170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170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170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170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170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40</v>
      </c>
      <c r="D33" s="18" t="n"/>
      <c r="E33" s="18">
        <f>D33-C33+E32</f>
        <v/>
      </c>
      <c r="F33" s="18" t="n">
        <v>130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0</v>
      </c>
      <c r="D34" s="18" t="n"/>
      <c r="E34" s="18">
        <f>D34-C34+E33</f>
        <v/>
      </c>
      <c r="F34" s="18" t="n">
        <v>170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0</v>
      </c>
      <c r="D35" s="18" t="n"/>
      <c r="E35" s="18">
        <f>D35-C35+E34</f>
        <v/>
      </c>
      <c r="F35" s="18" t="n">
        <v>170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170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170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170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170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170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170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18" t="n">
        <v>170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170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170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170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170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135</v>
      </c>
      <c r="D53" s="32" t="n"/>
      <c r="E53" s="32">
        <f>D53-C53+E52</f>
        <v/>
      </c>
      <c r="F53" s="32" t="n">
        <v>0</v>
      </c>
      <c r="G53" s="32" t="n"/>
      <c r="H53" s="32">
        <f>G53-F53+H52</f>
        <v/>
      </c>
      <c r="I53" s="34" t="n"/>
      <c r="J53" s="48">
        <f>C53+F53+I53</f>
        <v/>
      </c>
      <c r="K53" s="40" t="inlineStr">
        <is>
          <t>End of extended Shifts</t>
        </is>
      </c>
    </row>
    <row r="54">
      <c r="B54" s="37">
        <f>B53+1</f>
        <v/>
      </c>
      <c r="C54" s="18" t="n">
        <v>135</v>
      </c>
      <c r="D54" s="18" t="n"/>
      <c r="E54" s="18">
        <f>D54-C54+E53</f>
        <v/>
      </c>
      <c r="F54" s="18" t="n">
        <v>0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135</v>
      </c>
      <c r="D55" s="18" t="n"/>
      <c r="E55" s="18">
        <f>D55-C55+E54</f>
        <v/>
      </c>
      <c r="F55" s="18" t="n">
        <v>0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135</v>
      </c>
      <c r="D56" s="18" t="n"/>
      <c r="E56" s="18">
        <f>D56-C56+E55</f>
        <v/>
      </c>
      <c r="F56" s="18" t="n">
        <v>0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135</v>
      </c>
      <c r="D57" s="18" t="n"/>
      <c r="E57" s="18">
        <f>D57-C57+E56</f>
        <v/>
      </c>
      <c r="F57" s="18" t="n">
        <v>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135</v>
      </c>
      <c r="D60" s="32" t="n"/>
      <c r="E60" s="32">
        <f>D60-C60+E59</f>
        <v/>
      </c>
      <c r="F60" s="32" t="n">
        <v>0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90</v>
      </c>
      <c r="D61" s="18" t="n"/>
      <c r="E61" s="18">
        <f>D61-C61+E60</f>
        <v/>
      </c>
      <c r="F61" s="18" t="n">
        <v>45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18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18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18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2" t="n">
        <v>90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90</v>
      </c>
      <c r="D77" s="18" t="n"/>
      <c r="E77" s="18">
        <f>D77-C77+E76</f>
        <v/>
      </c>
      <c r="F77" s="18" t="n">
        <v>85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0</v>
      </c>
      <c r="D78" s="18" t="n"/>
      <c r="E78" s="18">
        <f>D78-C78+E77</f>
        <v/>
      </c>
      <c r="F78" s="18" t="n">
        <v>135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0</v>
      </c>
      <c r="D81" s="32" t="n"/>
      <c r="E81" s="32">
        <f>D81-C81+E80</f>
        <v/>
      </c>
      <c r="F81" s="32" t="n">
        <v>135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0</v>
      </c>
      <c r="D82" s="18" t="n"/>
      <c r="E82" s="18">
        <f>D82-C82+E81</f>
        <v/>
      </c>
      <c r="F82" s="18" t="n">
        <v>135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120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18" t="n"/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18" t="n"/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0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/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/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90</v>
      </c>
      <c r="D97" s="18" t="n"/>
      <c r="E97" s="18">
        <f>D97-C97+E96</f>
        <v/>
      </c>
      <c r="F97" s="18" t="n"/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0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/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/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/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0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0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jungs1</dc:creator>
  <dcterms:created xmlns:dcterms="http://purl.org/dc/terms/" xmlns:xsi="http://www.w3.org/2001/XMLSchema-instance" xsi:type="dcterms:W3CDTF">2006-10-17T15:23:50Z</dcterms:created>
  <dcterms:modified xmlns:dcterms="http://purl.org/dc/terms/" xmlns:xsi="http://www.w3.org/2001/XMLSchema-instance" xsi:type="dcterms:W3CDTF">2026-03-14T05:44:38Z</dcterms:modified>
  <cp:lastModifiedBy>Susan Levang</cp:lastModifiedBy>
  <cp:lastPrinted>2007-01-16T21:41:28Z</cp:lastPrinted>
</cp:coreProperties>
</file>