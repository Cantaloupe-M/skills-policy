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Current Equipment and Bins" sheetId="1" state="visible" r:id="rId1"/>
    <sheet xmlns:r="http://schemas.openxmlformats.org/officeDocument/2006/relationships" name="Relocated Flax Processing" sheetId="2" state="visible" r:id="rId2"/>
    <sheet xmlns:r="http://schemas.openxmlformats.org/officeDocument/2006/relationships" name="10 hr Shift Relocate Flax Proc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4">
    <font>
      <name val="Arial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CCC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16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wrapText="1"/>
    </xf>
    <xf numFmtId="16" fontId="2" fillId="0" borderId="4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" fontId="1" fillId="0" borderId="4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" fontId="1" fillId="5" borderId="0" applyAlignment="1" pivotButton="0" quotePrefix="0" xfId="0">
      <alignment horizontal="center"/>
    </xf>
    <xf numFmtId="1" fontId="1" fillId="5" borderId="4" applyAlignment="1" pivotButton="0" quotePrefix="0" xfId="0">
      <alignment horizontal="center"/>
    </xf>
    <xf numFmtId="1" fontId="2" fillId="5" borderId="0" applyAlignment="1" pivotButton="0" quotePrefix="0" xfId="0">
      <alignment horizontal="center"/>
    </xf>
    <xf numFmtId="1" fontId="1" fillId="0" borderId="0" pivotButton="0" quotePrefix="0" xfId="0"/>
    <xf numFmtId="16" fontId="1" fillId="4" borderId="4" applyAlignment="1" pivotButton="0" quotePrefix="0" xfId="0">
      <alignment horizontal="center"/>
    </xf>
    <xf numFmtId="1" fontId="1" fillId="4" borderId="0" applyAlignment="1" pivotButton="0" quotePrefix="0" xfId="0">
      <alignment horizontal="center"/>
    </xf>
    <xf numFmtId="1" fontId="1" fillId="4" borderId="4" applyAlignment="1" pivotButton="0" quotePrefix="0" xfId="0">
      <alignment horizontal="center"/>
    </xf>
    <xf numFmtId="1" fontId="1" fillId="4" borderId="0" pivotButton="0" quotePrefix="0" xfId="0"/>
    <xf numFmtId="16" fontId="1" fillId="4" borderId="5" applyAlignment="1" pivotButton="0" quotePrefix="0" xfId="0">
      <alignment horizontal="center"/>
    </xf>
    <xf numFmtId="1" fontId="1" fillId="4" borderId="6" applyAlignment="1" pivotButton="0" quotePrefix="0" xfId="0">
      <alignment horizontal="center"/>
    </xf>
    <xf numFmtId="1" fontId="1" fillId="4" borderId="5" applyAlignment="1" pivotButton="0" quotePrefix="0" xfId="0">
      <alignment horizontal="center"/>
    </xf>
    <xf numFmtId="1" fontId="1" fillId="4" borderId="6" pivotButton="0" quotePrefix="0" xfId="0"/>
    <xf numFmtId="1" fontId="1" fillId="0" borderId="2" applyAlignment="1" pivotButton="0" quotePrefix="0" xfId="0">
      <alignment horizontal="center"/>
    </xf>
    <xf numFmtId="1" fontId="1" fillId="0" borderId="2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1" fillId="0" borderId="2" pivotButton="0" quotePrefix="0" xfId="0"/>
    <xf numFmtId="1" fontId="1" fillId="0" borderId="4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6" fontId="2" fillId="0" borderId="4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0" borderId="0" pivotButton="0" quotePrefix="0" xfId="0"/>
    <xf numFmtId="0" fontId="2" fillId="0" borderId="3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/>
    </xf>
    <xf numFmtId="0" fontId="2" fillId="0" borderId="7" applyAlignment="1" pivotButton="0" quotePrefix="0" xfId="0">
      <alignment horizontal="center" wrapText="1"/>
    </xf>
    <xf numFmtId="164" fontId="1" fillId="0" borderId="8" applyAlignment="1" pivotButton="0" quotePrefix="0" xfId="0">
      <alignment horizontal="center"/>
    </xf>
    <xf numFmtId="164" fontId="1" fillId="5" borderId="8" applyAlignment="1" pivotButton="0" quotePrefix="0" xfId="0">
      <alignment horizontal="center"/>
    </xf>
    <xf numFmtId="164" fontId="1" fillId="4" borderId="8" pivotButton="0" quotePrefix="0" xfId="0"/>
    <xf numFmtId="164" fontId="1" fillId="4" borderId="9" pivotButton="0" quotePrefix="0" xfId="0"/>
    <xf numFmtId="164" fontId="1" fillId="0" borderId="7" applyAlignment="1" pivotButton="0" quotePrefix="0" xfId="0">
      <alignment horizontal="center"/>
    </xf>
    <xf numFmtId="164" fontId="1" fillId="4" borderId="8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08"/>
  <sheetViews>
    <sheetView tabSelected="1" zoomScaleNormal="100" zoomScaleSheetLayoutView="50" workbookViewId="0">
      <pane xSplit="2" ySplit="3" topLeftCell="C4" activePane="bottomRight" state="frozen"/>
      <selection pane="topRight" activeCell="C1" sqref="C1"/>
      <selection pane="bottomLeft" activeCell="A35" sqref="A35"/>
      <selection pane="bottomRight" activeCell="K32" sqref="K32"/>
    </sheetView>
  </sheetViews>
  <sheetFormatPr baseColWidth="8" defaultRowHeight="15"/>
  <cols>
    <col width="0.5703125" customWidth="1" style="1" min="1" max="1"/>
    <col width="10.85546875" customWidth="1" style="11" min="2" max="2"/>
    <col width="9.7109375" customWidth="1" style="6" min="3" max="4"/>
    <col width="11.85546875" customWidth="1" style="6" min="5" max="5"/>
    <col width="8.5703125" customWidth="1" style="6" min="6" max="6"/>
    <col width="9.7109375" customWidth="1" style="6" min="7" max="7"/>
    <col width="11.85546875" customWidth="1" style="6" min="8" max="8"/>
    <col width="10.7109375" bestFit="1" customWidth="1" style="1" min="9" max="9"/>
    <col width="11" customWidth="1" style="38" min="10" max="10"/>
    <col width="52.85546875" bestFit="1" customWidth="1" style="1" min="11" max="11"/>
    <col width="9.140625" customWidth="1" style="1" min="12" max="16384"/>
  </cols>
  <sheetData>
    <row r="1">
      <c r="B1" s="2" t="n"/>
      <c r="C1" s="11" t="n"/>
      <c r="D1" s="11" t="n"/>
      <c r="E1" s="6" t="n"/>
      <c r="F1" s="6" t="n"/>
      <c r="G1" s="11" t="n"/>
      <c r="H1" s="6" t="n"/>
      <c r="J1" s="38" t="n"/>
    </row>
    <row r="2" ht="15.75" customHeight="1" thickBot="1">
      <c r="B2" s="2" t="n"/>
      <c r="C2" s="7" t="inlineStr">
        <is>
          <t>Wheat Bin Loads</t>
        </is>
      </c>
      <c r="D2" s="7" t="n"/>
      <c r="E2" s="8" t="n"/>
      <c r="F2" s="9" t="inlineStr">
        <is>
          <t>Canola Bin Loads</t>
        </is>
      </c>
      <c r="G2" s="9" t="n"/>
      <c r="H2" s="10" t="n"/>
      <c r="I2" s="39" t="inlineStr">
        <is>
          <t>Flax Processing</t>
        </is>
      </c>
      <c r="J2" s="42" t="n"/>
      <c r="K2" s="6" t="n"/>
    </row>
    <row r="3" ht="75" customFormat="1" customHeight="1" s="12">
      <c r="B3" s="13" t="n"/>
      <c r="C3" s="14" t="inlineStr">
        <is>
          <t>Planned Production</t>
        </is>
      </c>
      <c r="D3" s="14" t="inlineStr">
        <is>
          <t>Purchase Orders Due</t>
        </is>
      </c>
      <c r="E3" s="14" t="inlineStr">
        <is>
          <t>Cumulative Open Purchase Orders (EOD)</t>
        </is>
      </c>
      <c r="F3" s="14" t="inlineStr">
        <is>
          <t>Planned Production</t>
        </is>
      </c>
      <c r="G3" s="14" t="inlineStr">
        <is>
          <t>Purchase Orders Due</t>
        </is>
      </c>
      <c r="H3" s="14" t="inlineStr">
        <is>
          <t>Cumulative Open Purchase Orders (EOD)</t>
        </is>
      </c>
      <c r="I3" s="41" t="inlineStr">
        <is>
          <t>Actual Var to PO</t>
        </is>
      </c>
      <c r="J3" s="43" t="inlineStr">
        <is>
          <t>Total Prod</t>
        </is>
      </c>
      <c r="K3" s="11" t="inlineStr">
        <is>
          <t>Notes</t>
        </is>
      </c>
    </row>
    <row r="4">
      <c r="B4" s="37" t="n">
        <v>43122</v>
      </c>
      <c r="C4" s="18" t="n">
        <v>120</v>
      </c>
      <c r="D4" s="18" t="n">
        <v>1065</v>
      </c>
      <c r="E4" s="18">
        <f>D4-C4</f>
        <v/>
      </c>
      <c r="F4" s="35" t="n">
        <v>0</v>
      </c>
      <c r="G4" s="18">
        <f>60+240+555</f>
        <v/>
      </c>
      <c r="H4" s="18">
        <f>G4-F4</f>
        <v/>
      </c>
      <c r="I4" s="18" t="n"/>
      <c r="J4" s="44">
        <f>C4+F4+I4</f>
        <v/>
      </c>
      <c r="K4" s="6" t="n"/>
    </row>
    <row r="5">
      <c r="B5" s="37">
        <f>B4+1</f>
        <v/>
      </c>
      <c r="C5" s="18" t="n">
        <v>120</v>
      </c>
      <c r="D5" s="18" t="n"/>
      <c r="E5" s="18">
        <f>D5-C5+E4</f>
        <v/>
      </c>
      <c r="F5" s="35" t="n">
        <v>0</v>
      </c>
      <c r="G5" s="18" t="n"/>
      <c r="H5" s="18">
        <f>G5-F5+H4</f>
        <v/>
      </c>
      <c r="I5" s="18" t="n"/>
      <c r="J5" s="44">
        <f>C5+F5+I5</f>
        <v/>
      </c>
      <c r="K5" s="6" t="n"/>
    </row>
    <row r="6">
      <c r="B6" s="37">
        <f>B5+1</f>
        <v/>
      </c>
      <c r="C6" s="19" t="n">
        <v>0</v>
      </c>
      <c r="D6" s="19" t="n"/>
      <c r="E6" s="19">
        <f>D6-C6+E5</f>
        <v/>
      </c>
      <c r="F6" s="20" t="n">
        <v>0</v>
      </c>
      <c r="G6" s="19" t="n"/>
      <c r="H6" s="19">
        <f>G6-F6+H5</f>
        <v/>
      </c>
      <c r="I6" s="21" t="n">
        <v>100</v>
      </c>
      <c r="J6" s="45">
        <f>C6+F6+I6</f>
        <v/>
      </c>
      <c r="K6" s="6" t="n"/>
    </row>
    <row r="7">
      <c r="B7" s="37">
        <f>B6+1</f>
        <v/>
      </c>
      <c r="C7" s="18" t="n">
        <v>120</v>
      </c>
      <c r="D7" s="18" t="n"/>
      <c r="E7" s="18">
        <f>D7-C7+E6</f>
        <v/>
      </c>
      <c r="F7" s="35" t="n">
        <v>0</v>
      </c>
      <c r="G7" s="18" t="n"/>
      <c r="H7" s="18">
        <f>G7-F7+H6</f>
        <v/>
      </c>
      <c r="I7" s="22" t="n"/>
      <c r="J7" s="44">
        <f>C7+F7+I7</f>
        <v/>
      </c>
    </row>
    <row r="8">
      <c r="B8" s="37">
        <f>B7+1</f>
        <v/>
      </c>
      <c r="C8" s="18" t="n">
        <v>120</v>
      </c>
      <c r="D8" s="18" t="n"/>
      <c r="E8" s="18">
        <f>D8-C8+E7</f>
        <v/>
      </c>
      <c r="F8" s="35" t="n">
        <v>0</v>
      </c>
      <c r="G8" s="18" t="n"/>
      <c r="H8" s="18">
        <f>G8-F8+H7</f>
        <v/>
      </c>
      <c r="I8" s="22" t="n"/>
      <c r="J8" s="44">
        <f>C8+F8+I8</f>
        <v/>
      </c>
    </row>
    <row r="9">
      <c r="B9" s="23">
        <f>B8+1</f>
        <v/>
      </c>
      <c r="C9" s="24" t="n">
        <v>0</v>
      </c>
      <c r="D9" s="24" t="n"/>
      <c r="E9" s="24">
        <f>D9-C9+E8</f>
        <v/>
      </c>
      <c r="F9" s="25" t="n"/>
      <c r="G9" s="24" t="n"/>
      <c r="H9" s="24">
        <f>G9-F9+H8</f>
        <v/>
      </c>
      <c r="I9" s="26" t="n"/>
      <c r="J9" s="46" t="n"/>
    </row>
    <row r="10" ht="15.75" customHeight="1" thickBot="1">
      <c r="B10" s="27">
        <f>B9+1</f>
        <v/>
      </c>
      <c r="C10" s="28" t="n">
        <v>0</v>
      </c>
      <c r="D10" s="28" t="n"/>
      <c r="E10" s="28">
        <f>D10-C10+E9</f>
        <v/>
      </c>
      <c r="F10" s="29" t="n"/>
      <c r="G10" s="28" t="n"/>
      <c r="H10" s="28">
        <f>G10-F10+H9</f>
        <v/>
      </c>
      <c r="I10" s="30" t="n"/>
      <c r="J10" s="47" t="n"/>
    </row>
    <row r="11">
      <c r="B11" s="13">
        <f>B10+1</f>
        <v/>
      </c>
      <c r="C11" s="32" t="n">
        <v>120</v>
      </c>
      <c r="D11" s="18" t="n"/>
      <c r="E11" s="18">
        <f>D11-C11+E10</f>
        <v/>
      </c>
      <c r="F11" s="33" t="n">
        <v>0</v>
      </c>
      <c r="G11" s="18" t="n"/>
      <c r="H11" s="18">
        <f>G11-F11+H10</f>
        <v/>
      </c>
      <c r="I11" s="34" t="n"/>
      <c r="J11" s="44">
        <f>C11+F11+I11</f>
        <v/>
      </c>
    </row>
    <row r="12">
      <c r="B12" s="37">
        <f>B11+1</f>
        <v/>
      </c>
      <c r="C12" s="18" t="n">
        <v>120</v>
      </c>
      <c r="D12" s="18" t="n"/>
      <c r="E12" s="18">
        <f>D12-C12+E11</f>
        <v/>
      </c>
      <c r="F12" s="35" t="n">
        <v>0</v>
      </c>
      <c r="G12" s="18" t="n"/>
      <c r="H12" s="18">
        <f>G12-F12+H11</f>
        <v/>
      </c>
      <c r="I12" s="22" t="n"/>
      <c r="J12" s="44">
        <f>C12+F12+I12</f>
        <v/>
      </c>
    </row>
    <row r="13">
      <c r="B13" s="37">
        <f>B12+1</f>
        <v/>
      </c>
      <c r="C13" s="19" t="n">
        <v>0</v>
      </c>
      <c r="D13" s="19" t="n"/>
      <c r="E13" s="19">
        <f>D13-C13+E12</f>
        <v/>
      </c>
      <c r="F13" s="20" t="n">
        <v>0</v>
      </c>
      <c r="G13" s="19" t="n"/>
      <c r="H13" s="19">
        <f>G13-F13+H12</f>
        <v/>
      </c>
      <c r="I13" s="21" t="n">
        <v>100</v>
      </c>
      <c r="J13" s="45">
        <f>C13+F13+I13</f>
        <v/>
      </c>
    </row>
    <row r="14">
      <c r="B14" s="37">
        <f>B13+1</f>
        <v/>
      </c>
      <c r="C14" s="18" t="n">
        <v>120</v>
      </c>
      <c r="D14" s="18" t="n">
        <v>855</v>
      </c>
      <c r="E14" s="18">
        <f>D14-C14+E13</f>
        <v/>
      </c>
      <c r="F14" s="35" t="n">
        <v>0</v>
      </c>
      <c r="G14" s="18" t="n">
        <v>555</v>
      </c>
      <c r="H14" s="18">
        <f>G14-F14+H13</f>
        <v/>
      </c>
      <c r="I14" s="22" t="n"/>
      <c r="J14" s="44">
        <f>C14+F14+I14</f>
        <v/>
      </c>
      <c r="K14" s="40" t="n"/>
    </row>
    <row r="15">
      <c r="B15" s="37">
        <f>B14+1</f>
        <v/>
      </c>
      <c r="C15" s="18" t="n">
        <v>120</v>
      </c>
      <c r="D15" s="18" t="n"/>
      <c r="E15" s="18">
        <f>D15-C15+E14</f>
        <v/>
      </c>
      <c r="F15" s="35" t="n">
        <v>0</v>
      </c>
      <c r="G15" s="18" t="n"/>
      <c r="H15" s="18">
        <f>G15-F15+H14</f>
        <v/>
      </c>
      <c r="I15" s="22" t="n"/>
      <c r="J15" s="44">
        <f>C15+F15+I15</f>
        <v/>
      </c>
      <c r="K15" s="40" t="n"/>
    </row>
    <row r="16">
      <c r="B16" s="23">
        <f>B15+1</f>
        <v/>
      </c>
      <c r="C16" s="24" t="n">
        <v>0</v>
      </c>
      <c r="D16" s="24" t="n"/>
      <c r="E16" s="24">
        <f>D16-C16+E15</f>
        <v/>
      </c>
      <c r="F16" s="25" t="n"/>
      <c r="G16" s="24" t="n"/>
      <c r="H16" s="24">
        <f>G16-F16+H15</f>
        <v/>
      </c>
      <c r="I16" s="26" t="n"/>
      <c r="J16" s="46" t="n"/>
      <c r="K16" s="40" t="n"/>
    </row>
    <row r="17" ht="15.75" customHeight="1" thickBot="1">
      <c r="B17" s="27">
        <f>B16+1</f>
        <v/>
      </c>
      <c r="C17" s="28" t="n">
        <v>0</v>
      </c>
      <c r="D17" s="28" t="n"/>
      <c r="E17" s="28">
        <f>D17-C17+E16</f>
        <v/>
      </c>
      <c r="F17" s="29" t="n"/>
      <c r="G17" s="28" t="n"/>
      <c r="H17" s="28">
        <f>G17-F17+H16</f>
        <v/>
      </c>
      <c r="I17" s="30" t="n"/>
      <c r="J17" s="47" t="n"/>
      <c r="K17" s="40" t="n"/>
    </row>
    <row r="18">
      <c r="B18" s="13">
        <f>B17+1</f>
        <v/>
      </c>
      <c r="C18" s="32" t="n">
        <v>135</v>
      </c>
      <c r="D18" s="18" t="n"/>
      <c r="E18" s="18">
        <f>D18-C18+E17</f>
        <v/>
      </c>
      <c r="F18" s="33" t="n">
        <v>0</v>
      </c>
      <c r="G18" s="18" t="n"/>
      <c r="H18" s="18">
        <f>G18-F18+H17</f>
        <v/>
      </c>
      <c r="I18" s="34" t="n"/>
      <c r="J18" s="44">
        <f>C18+F18+I18</f>
        <v/>
      </c>
      <c r="K18" s="40" t="inlineStr">
        <is>
          <t>Capacity increase to 135 sets/8 hour shift</t>
        </is>
      </c>
    </row>
    <row r="19">
      <c r="B19" s="37">
        <f>B18+1</f>
        <v/>
      </c>
      <c r="C19" s="18" t="n">
        <v>135</v>
      </c>
      <c r="D19" s="18" t="n"/>
      <c r="E19" s="18">
        <f>D19-C19+E18</f>
        <v/>
      </c>
      <c r="F19" s="35" t="n">
        <v>0</v>
      </c>
      <c r="G19" s="18" t="n"/>
      <c r="H19" s="18">
        <f>G19-F19+H18</f>
        <v/>
      </c>
      <c r="I19" s="22" t="n"/>
      <c r="J19" s="44">
        <f>C19+F19+I19</f>
        <v/>
      </c>
      <c r="K19" s="40" t="n"/>
    </row>
    <row r="20">
      <c r="B20" s="37">
        <f>B19+1</f>
        <v/>
      </c>
      <c r="C20" s="19" t="n">
        <v>0</v>
      </c>
      <c r="D20" s="19" t="n"/>
      <c r="E20" s="19">
        <f>D20-C20+E19</f>
        <v/>
      </c>
      <c r="F20" s="20" t="n">
        <v>0</v>
      </c>
      <c r="G20" s="19" t="n"/>
      <c r="H20" s="19">
        <f>G20-F20+H19</f>
        <v/>
      </c>
      <c r="I20" s="21" t="n">
        <v>100</v>
      </c>
      <c r="J20" s="45">
        <f>C20+F20+I20</f>
        <v/>
      </c>
      <c r="K20" s="40" t="n"/>
    </row>
    <row r="21">
      <c r="B21" s="37">
        <f>B20+1</f>
        <v/>
      </c>
      <c r="C21" s="18" t="n">
        <v>135</v>
      </c>
      <c r="D21" s="18" t="n"/>
      <c r="E21" s="18">
        <f>D21-C21+E20</f>
        <v/>
      </c>
      <c r="F21" s="35" t="n">
        <v>0</v>
      </c>
      <c r="G21" s="18" t="n"/>
      <c r="H21" s="18">
        <f>G21-F21+H20</f>
        <v/>
      </c>
      <c r="I21" s="22" t="n"/>
      <c r="J21" s="44">
        <f>C21+F21+I21</f>
        <v/>
      </c>
      <c r="K21" s="40" t="n"/>
    </row>
    <row r="22">
      <c r="B22" s="37">
        <f>B21+1</f>
        <v/>
      </c>
      <c r="C22" s="18" t="n">
        <v>135</v>
      </c>
      <c r="D22" s="18" t="n"/>
      <c r="E22" s="18">
        <f>D22-C22+E21</f>
        <v/>
      </c>
      <c r="F22" s="35" t="n">
        <v>0</v>
      </c>
      <c r="G22" s="18" t="n"/>
      <c r="H22" s="18">
        <f>G22-F22+H21</f>
        <v/>
      </c>
      <c r="I22" s="36" t="n"/>
      <c r="J22" s="44">
        <f>C22+F22+I22</f>
        <v/>
      </c>
      <c r="K22" s="40" t="n"/>
    </row>
    <row r="23">
      <c r="B23" s="23">
        <f>B22+1</f>
        <v/>
      </c>
      <c r="C23" s="24" t="n">
        <v>0</v>
      </c>
      <c r="D23" s="24" t="n"/>
      <c r="E23" s="24">
        <f>D23-C23+E22</f>
        <v/>
      </c>
      <c r="F23" s="25" t="n"/>
      <c r="G23" s="24" t="n"/>
      <c r="H23" s="24">
        <f>G23-F23+H22</f>
        <v/>
      </c>
      <c r="I23" s="26" t="n"/>
      <c r="J23" s="46" t="n"/>
      <c r="K23" s="40" t="n"/>
    </row>
    <row r="24" ht="15.75" customHeight="1" thickBot="1">
      <c r="B24" s="27">
        <f>B23+1</f>
        <v/>
      </c>
      <c r="C24" s="28" t="n">
        <v>0</v>
      </c>
      <c r="D24" s="28" t="n"/>
      <c r="E24" s="28">
        <f>D24-C24+E23</f>
        <v/>
      </c>
      <c r="F24" s="29" t="n"/>
      <c r="G24" s="28" t="n"/>
      <c r="H24" s="28">
        <f>G24-F24+H23</f>
        <v/>
      </c>
      <c r="I24" s="30" t="n"/>
      <c r="J24" s="47" t="n"/>
      <c r="K24" s="40" t="n"/>
    </row>
    <row r="25">
      <c r="B25" s="13">
        <f>B24+1</f>
        <v/>
      </c>
      <c r="C25" s="32" t="n">
        <v>135</v>
      </c>
      <c r="D25" s="32" t="n"/>
      <c r="E25" s="32">
        <f>D25-C25+E24</f>
        <v/>
      </c>
      <c r="F25" s="33" t="n">
        <v>0</v>
      </c>
      <c r="G25" s="32" t="n"/>
      <c r="H25" s="32">
        <f>G25-F25+H24</f>
        <v/>
      </c>
      <c r="I25" s="34" t="n"/>
      <c r="J25" s="44">
        <f>C25+F25+I25</f>
        <v/>
      </c>
      <c r="K25" s="40" t="n"/>
    </row>
    <row r="26">
      <c r="B26" s="37">
        <f>B25+1</f>
        <v/>
      </c>
      <c r="C26" s="18" t="n">
        <v>135</v>
      </c>
      <c r="D26" s="18" t="n"/>
      <c r="E26" s="18">
        <f>D26-C26+E25</f>
        <v/>
      </c>
      <c r="F26" s="35" t="n">
        <v>0</v>
      </c>
      <c r="G26" s="18" t="n"/>
      <c r="H26" s="18">
        <f>G26-F26+H25</f>
        <v/>
      </c>
      <c r="I26" s="22" t="n"/>
      <c r="J26" s="44">
        <f>C26+F26+I26</f>
        <v/>
      </c>
      <c r="K26" s="40" t="n"/>
    </row>
    <row r="27">
      <c r="B27" s="37">
        <f>B26+1</f>
        <v/>
      </c>
      <c r="C27" s="18" t="n">
        <v>135</v>
      </c>
      <c r="D27" s="18" t="n"/>
      <c r="E27" s="18">
        <f>D27-C27+E26</f>
        <v/>
      </c>
      <c r="F27" s="35" t="n">
        <v>0</v>
      </c>
      <c r="G27" s="18" t="n"/>
      <c r="H27" s="18">
        <f>G27-F27+H26</f>
        <v/>
      </c>
      <c r="I27" s="36" t="n"/>
      <c r="J27" s="44">
        <f>C27+F27+I27</f>
        <v/>
      </c>
      <c r="K27" s="40" t="n"/>
    </row>
    <row r="28">
      <c r="B28" s="37">
        <f>B27+1</f>
        <v/>
      </c>
      <c r="C28" s="18" t="n">
        <v>135</v>
      </c>
      <c r="D28" s="18" t="n">
        <v>900</v>
      </c>
      <c r="E28" s="18">
        <f>D28-C28+E27</f>
        <v/>
      </c>
      <c r="F28" s="35" t="n">
        <v>0</v>
      </c>
      <c r="G28" s="18" t="n">
        <v>900</v>
      </c>
      <c r="H28" s="18">
        <f>G28-F28+H27</f>
        <v/>
      </c>
      <c r="I28" s="22" t="n"/>
      <c r="J28" s="44">
        <f>C28+F28+I28</f>
        <v/>
      </c>
      <c r="K28" s="40" t="n"/>
    </row>
    <row r="29">
      <c r="B29" s="37">
        <f>B28+1</f>
        <v/>
      </c>
      <c r="C29" s="19" t="n">
        <v>0</v>
      </c>
      <c r="D29" s="19" t="n"/>
      <c r="E29" s="19">
        <f>D29-C29+E28</f>
        <v/>
      </c>
      <c r="F29" s="20" t="n">
        <v>0</v>
      </c>
      <c r="G29" s="19" t="n"/>
      <c r="H29" s="19">
        <f>G29-F29+H28</f>
        <v/>
      </c>
      <c r="I29" s="21" t="n">
        <v>100</v>
      </c>
      <c r="J29" s="45">
        <f>C29+F29+I29</f>
        <v/>
      </c>
      <c r="K29" s="40" t="n"/>
    </row>
    <row r="30">
      <c r="B30" s="23">
        <f>B29+1</f>
        <v/>
      </c>
      <c r="C30" s="24" t="n">
        <v>0</v>
      </c>
      <c r="D30" s="24" t="n"/>
      <c r="E30" s="24">
        <f>D30-C30+E29</f>
        <v/>
      </c>
      <c r="F30" s="25" t="n"/>
      <c r="G30" s="24" t="n"/>
      <c r="H30" s="24">
        <f>G30-F30+H29</f>
        <v/>
      </c>
      <c r="I30" s="26" t="n"/>
      <c r="J30" s="46" t="n"/>
      <c r="K30" s="40" t="n"/>
    </row>
    <row r="31" ht="15.75" customHeight="1" thickBot="1">
      <c r="B31" s="27">
        <f>B30+1</f>
        <v/>
      </c>
      <c r="C31" s="28" t="n">
        <v>0</v>
      </c>
      <c r="D31" s="28" t="n"/>
      <c r="E31" s="28">
        <f>D31-C31+E30</f>
        <v/>
      </c>
      <c r="F31" s="29" t="n"/>
      <c r="G31" s="28" t="n"/>
      <c r="H31" s="28">
        <f>G31-F31+H30</f>
        <v/>
      </c>
      <c r="I31" s="30" t="n"/>
      <c r="J31" s="47" t="n"/>
      <c r="K31" s="40" t="n"/>
    </row>
    <row r="32">
      <c r="B32" s="23">
        <f>B31+1</f>
        <v/>
      </c>
      <c r="C32" s="24" t="n">
        <v>0</v>
      </c>
      <c r="D32" s="24" t="n"/>
      <c r="E32" s="24">
        <f>D32-C32+E31</f>
        <v/>
      </c>
      <c r="F32" s="25" t="n">
        <v>0</v>
      </c>
      <c r="G32" s="24" t="n"/>
      <c r="H32" s="24">
        <f>G32-F32+H31</f>
        <v/>
      </c>
      <c r="I32" s="26" t="n"/>
      <c r="J32" s="49">
        <f>C32+F32+I32</f>
        <v/>
      </c>
      <c r="K32" s="40" t="inlineStr">
        <is>
          <t>Louis Riel Stat Holiday</t>
        </is>
      </c>
    </row>
    <row r="33">
      <c r="B33" s="37">
        <f>B32+1</f>
        <v/>
      </c>
      <c r="C33" s="18" t="n">
        <v>135</v>
      </c>
      <c r="D33" s="18" t="n"/>
      <c r="E33" s="18">
        <f>D33-C33+E32</f>
        <v/>
      </c>
      <c r="F33" s="35" t="n">
        <v>0</v>
      </c>
      <c r="G33" s="18" t="n"/>
      <c r="H33" s="18">
        <f>G33-F33+H32</f>
        <v/>
      </c>
      <c r="I33" s="22" t="n"/>
      <c r="J33" s="44">
        <f>C33+F33+I33</f>
        <v/>
      </c>
      <c r="K33" s="40" t="n"/>
    </row>
    <row r="34">
      <c r="B34" s="37">
        <f>B33+1</f>
        <v/>
      </c>
      <c r="C34" s="18" t="n">
        <v>135</v>
      </c>
      <c r="D34" s="18" t="n"/>
      <c r="E34" s="18">
        <f>D34-C34+E33</f>
        <v/>
      </c>
      <c r="F34" s="35" t="n">
        <v>0</v>
      </c>
      <c r="G34" s="18" t="n"/>
      <c r="H34" s="18">
        <f>G34-F34+H33</f>
        <v/>
      </c>
      <c r="I34" s="22" t="n"/>
      <c r="J34" s="44">
        <f>C34+F34+I34</f>
        <v/>
      </c>
      <c r="K34" s="40" t="n"/>
    </row>
    <row r="35">
      <c r="B35" s="37">
        <f>B34+1</f>
        <v/>
      </c>
      <c r="C35" s="18" t="n">
        <v>135</v>
      </c>
      <c r="D35" s="18" t="n"/>
      <c r="E35" s="18">
        <f>D35-C35+E34</f>
        <v/>
      </c>
      <c r="F35" s="35" t="n">
        <v>0</v>
      </c>
      <c r="G35" s="18" t="n"/>
      <c r="H35" s="18">
        <f>G35-F35+H34</f>
        <v/>
      </c>
      <c r="I35" s="22" t="n"/>
      <c r="J35" s="44">
        <f>C35+F35+I35</f>
        <v/>
      </c>
    </row>
    <row r="36">
      <c r="B36" s="37">
        <f>B35+1</f>
        <v/>
      </c>
      <c r="C36" s="18" t="n">
        <v>135</v>
      </c>
      <c r="D36" s="18" t="n"/>
      <c r="E36" s="18">
        <f>D36-C36+E35</f>
        <v/>
      </c>
      <c r="F36" s="35" t="n">
        <v>0</v>
      </c>
      <c r="G36" s="18" t="n"/>
      <c r="H36" s="18">
        <f>G36-F36+H35</f>
        <v/>
      </c>
      <c r="I36" s="22" t="n"/>
      <c r="J36" s="44">
        <f>C36+F36+I36</f>
        <v/>
      </c>
    </row>
    <row r="37">
      <c r="B37" s="23">
        <f>B36+1</f>
        <v/>
      </c>
      <c r="C37" s="24" t="n">
        <v>0</v>
      </c>
      <c r="D37" s="24" t="n"/>
      <c r="E37" s="24">
        <f>D37-C37+E36</f>
        <v/>
      </c>
      <c r="F37" s="25" t="n">
        <v>0</v>
      </c>
      <c r="G37" s="24" t="n"/>
      <c r="H37" s="24">
        <f>G37-F37+H36</f>
        <v/>
      </c>
      <c r="I37" s="26" t="n"/>
      <c r="J37" s="46" t="n"/>
    </row>
    <row r="38" ht="15.75" customHeight="1" thickBot="1">
      <c r="B38" s="27">
        <f>B37+1</f>
        <v/>
      </c>
      <c r="C38" s="28" t="n">
        <v>0</v>
      </c>
      <c r="D38" s="28" t="n"/>
      <c r="E38" s="28">
        <f>D38-C38+E37</f>
        <v/>
      </c>
      <c r="F38" s="29" t="n"/>
      <c r="G38" s="28" t="n"/>
      <c r="H38" s="28">
        <f>G38-F38+H37</f>
        <v/>
      </c>
      <c r="I38" s="30" t="n"/>
      <c r="J38" s="47" t="n"/>
    </row>
    <row r="39">
      <c r="B39" s="13">
        <f>B38+1</f>
        <v/>
      </c>
      <c r="C39" s="19" t="n">
        <v>0</v>
      </c>
      <c r="D39" s="19" t="n"/>
      <c r="E39" s="19">
        <f>D39-C39+E38</f>
        <v/>
      </c>
      <c r="F39" s="20" t="n">
        <v>0</v>
      </c>
      <c r="G39" s="19" t="n"/>
      <c r="H39" s="19">
        <f>G39-F39+H38</f>
        <v/>
      </c>
      <c r="I39" s="21" t="n">
        <v>100</v>
      </c>
      <c r="J39" s="45">
        <f>C39+F39+I39</f>
        <v/>
      </c>
    </row>
    <row r="40">
      <c r="B40" s="37">
        <f>B39+1</f>
        <v/>
      </c>
      <c r="C40" s="18" t="n">
        <v>135</v>
      </c>
      <c r="D40" s="18" t="n"/>
      <c r="E40" s="18">
        <f>D40-C40+E39</f>
        <v/>
      </c>
      <c r="F40" s="35" t="n">
        <v>0</v>
      </c>
      <c r="G40" s="18" t="n"/>
      <c r="H40" s="18">
        <f>G40-F40+H39</f>
        <v/>
      </c>
      <c r="I40" s="22" t="n"/>
      <c r="J40" s="44">
        <f>C40+F40+I40</f>
        <v/>
      </c>
    </row>
    <row r="41">
      <c r="B41" s="37">
        <f>B40+1</f>
        <v/>
      </c>
      <c r="C41" s="18" t="n">
        <v>135</v>
      </c>
      <c r="D41" s="18" t="n"/>
      <c r="E41" s="18">
        <f>D41-C41+E40</f>
        <v/>
      </c>
      <c r="F41" s="35" t="n">
        <v>0</v>
      </c>
      <c r="G41" s="18" t="n"/>
      <c r="H41" s="18">
        <f>G41-F41+H40</f>
        <v/>
      </c>
      <c r="I41" s="22" t="n"/>
      <c r="J41" s="44">
        <f>C41+F41+I41</f>
        <v/>
      </c>
    </row>
    <row r="42">
      <c r="B42" s="37">
        <f>B41+1</f>
        <v/>
      </c>
      <c r="C42" s="18" t="n">
        <v>0</v>
      </c>
      <c r="D42" s="18" t="n">
        <v>900</v>
      </c>
      <c r="E42" s="18">
        <f>D42-C42+E41</f>
        <v/>
      </c>
      <c r="F42" s="35" t="n">
        <v>135</v>
      </c>
      <c r="G42" s="18" t="n">
        <v>575</v>
      </c>
      <c r="H42" s="18">
        <f>G42-F42+H41</f>
        <v/>
      </c>
      <c r="I42" s="22" t="n"/>
      <c r="J42" s="44">
        <f>C42+F42+I42</f>
        <v/>
      </c>
    </row>
    <row r="43">
      <c r="B43" s="37">
        <f>B42+1</f>
        <v/>
      </c>
      <c r="C43" s="19" t="n">
        <v>0</v>
      </c>
      <c r="D43" s="19" t="n"/>
      <c r="E43" s="19">
        <f>D43-C43+E42</f>
        <v/>
      </c>
      <c r="F43" s="20" t="n">
        <v>0</v>
      </c>
      <c r="G43" s="19" t="n"/>
      <c r="H43" s="19">
        <f>G43-F43+H42</f>
        <v/>
      </c>
      <c r="I43" s="21" t="n">
        <v>100</v>
      </c>
      <c r="J43" s="45">
        <f>C43+F43+I43</f>
        <v/>
      </c>
    </row>
    <row r="44">
      <c r="B44" s="23">
        <f>B43+1</f>
        <v/>
      </c>
      <c r="C44" s="24" t="n">
        <v>0</v>
      </c>
      <c r="D44" s="24" t="n"/>
      <c r="E44" s="24">
        <f>D44-C44+E43</f>
        <v/>
      </c>
      <c r="F44" s="25" t="n">
        <v>0</v>
      </c>
      <c r="G44" s="24" t="n"/>
      <c r="H44" s="24">
        <f>G44-F44+H43</f>
        <v/>
      </c>
      <c r="I44" s="26" t="n"/>
      <c r="J44" s="46" t="n"/>
    </row>
    <row r="45" ht="15.75" customHeight="1" thickBot="1">
      <c r="B45" s="27">
        <f>B44+1</f>
        <v/>
      </c>
      <c r="C45" s="28" t="n">
        <v>0</v>
      </c>
      <c r="D45" s="28" t="n"/>
      <c r="E45" s="28">
        <f>D45-C45+E44</f>
        <v/>
      </c>
      <c r="F45" s="29" t="n"/>
      <c r="G45" s="28" t="n"/>
      <c r="H45" s="28">
        <f>G45-F45+H44</f>
        <v/>
      </c>
      <c r="I45" s="30" t="n"/>
      <c r="J45" s="47" t="n"/>
    </row>
    <row r="46">
      <c r="B46" s="13">
        <f>B45+1</f>
        <v/>
      </c>
      <c r="C46" s="32" t="n">
        <v>0</v>
      </c>
      <c r="D46" s="32" t="n"/>
      <c r="E46" s="32">
        <f>D46-C46+E45</f>
        <v/>
      </c>
      <c r="F46" s="33" t="n">
        <v>135</v>
      </c>
      <c r="G46" s="32" t="n"/>
      <c r="H46" s="32">
        <f>G46-F46+H45</f>
        <v/>
      </c>
      <c r="I46" s="34" t="n"/>
      <c r="J46" s="48">
        <f>C46+F46+I46</f>
        <v/>
      </c>
    </row>
    <row r="47">
      <c r="B47" s="37">
        <f>B46+1</f>
        <v/>
      </c>
      <c r="C47" s="18" t="n">
        <v>0</v>
      </c>
      <c r="D47" s="18" t="n"/>
      <c r="E47" s="18">
        <f>D47-C47+E46</f>
        <v/>
      </c>
      <c r="F47" s="35" t="n">
        <v>135</v>
      </c>
      <c r="G47" s="18" t="n"/>
      <c r="H47" s="18">
        <f>G47-F47+H46</f>
        <v/>
      </c>
      <c r="I47" s="22" t="n"/>
      <c r="J47" s="44">
        <f>C47+F47+I47</f>
        <v/>
      </c>
    </row>
    <row r="48">
      <c r="B48" s="37">
        <f>B47+1</f>
        <v/>
      </c>
      <c r="C48" s="19" t="n">
        <v>0</v>
      </c>
      <c r="D48" s="19" t="n"/>
      <c r="E48" s="19">
        <f>D48-C48+E47</f>
        <v/>
      </c>
      <c r="F48" s="20" t="n">
        <v>0</v>
      </c>
      <c r="G48" s="19" t="n"/>
      <c r="H48" s="19">
        <f>G48-F48+H47</f>
        <v/>
      </c>
      <c r="I48" s="21" t="n">
        <v>100</v>
      </c>
      <c r="J48" s="45">
        <f>C48+F48+I48</f>
        <v/>
      </c>
    </row>
    <row r="49">
      <c r="B49" s="37">
        <f>B48+1</f>
        <v/>
      </c>
      <c r="C49" s="18" t="n">
        <v>0</v>
      </c>
      <c r="D49" s="18" t="n"/>
      <c r="E49" s="18">
        <f>D49-C49+E48</f>
        <v/>
      </c>
      <c r="F49" s="35" t="n">
        <v>135</v>
      </c>
      <c r="G49" s="18" t="n"/>
      <c r="H49" s="18">
        <f>G49-F49+H48</f>
        <v/>
      </c>
      <c r="I49" s="22" t="n"/>
      <c r="J49" s="44">
        <f>C49+F49+I49</f>
        <v/>
      </c>
    </row>
    <row r="50">
      <c r="B50" s="37">
        <f>B49+1</f>
        <v/>
      </c>
      <c r="C50" s="18" t="n">
        <v>0</v>
      </c>
      <c r="D50" s="18" t="n"/>
      <c r="E50" s="18">
        <f>D50-C50+E49</f>
        <v/>
      </c>
      <c r="F50" s="35" t="n">
        <v>135</v>
      </c>
      <c r="G50" s="18" t="n"/>
      <c r="H50" s="18">
        <f>G50-F50+H49</f>
        <v/>
      </c>
      <c r="I50" s="22" t="n"/>
      <c r="J50" s="44">
        <f>C50+F50+I50</f>
        <v/>
      </c>
    </row>
    <row r="51">
      <c r="B51" s="23">
        <f>B50+1</f>
        <v/>
      </c>
      <c r="C51" s="24" t="n">
        <v>0</v>
      </c>
      <c r="D51" s="24" t="n"/>
      <c r="E51" s="24">
        <f>D51-C51+E50</f>
        <v/>
      </c>
      <c r="F51" s="25" t="n">
        <v>0</v>
      </c>
      <c r="G51" s="24" t="n"/>
      <c r="H51" s="24">
        <f>G51-F51+H50</f>
        <v/>
      </c>
      <c r="I51" s="26" t="n"/>
      <c r="J51" s="46" t="n"/>
    </row>
    <row r="52" ht="15.75" customHeight="1" thickBot="1">
      <c r="B52" s="27">
        <f>B51+1</f>
        <v/>
      </c>
      <c r="C52" s="28" t="n">
        <v>0</v>
      </c>
      <c r="D52" s="28" t="n"/>
      <c r="E52" s="28">
        <f>D52-C52+E51</f>
        <v/>
      </c>
      <c r="F52" s="29" t="n"/>
      <c r="G52" s="28" t="n"/>
      <c r="H52" s="28">
        <f>G52-F52+H51</f>
        <v/>
      </c>
      <c r="I52" s="30" t="n"/>
      <c r="J52" s="47" t="n"/>
    </row>
    <row r="53">
      <c r="B53" s="13">
        <f>B52+1</f>
        <v/>
      </c>
      <c r="C53" s="32" t="n">
        <v>0</v>
      </c>
      <c r="D53" s="32" t="n"/>
      <c r="E53" s="32">
        <f>D53-C53+E52</f>
        <v/>
      </c>
      <c r="F53" s="33" t="n">
        <v>135</v>
      </c>
      <c r="G53" s="32" t="n"/>
      <c r="H53" s="32">
        <f>G53-F53+H52</f>
        <v/>
      </c>
      <c r="I53" s="34" t="n"/>
      <c r="J53" s="48">
        <f>C53+F53+I53</f>
        <v/>
      </c>
    </row>
    <row r="54">
      <c r="B54" s="37">
        <f>B53+1</f>
        <v/>
      </c>
      <c r="C54" s="18" t="n">
        <v>0</v>
      </c>
      <c r="D54" s="18" t="n"/>
      <c r="E54" s="18">
        <f>D54-C54+E53</f>
        <v/>
      </c>
      <c r="F54" s="35" t="n">
        <v>135</v>
      </c>
      <c r="G54" s="18" t="n"/>
      <c r="H54" s="18">
        <f>G54-F54+H53</f>
        <v/>
      </c>
      <c r="I54" s="22" t="n"/>
      <c r="J54" s="44">
        <f>C54+F54+I54</f>
        <v/>
      </c>
    </row>
    <row r="55">
      <c r="B55" s="37">
        <f>B54+1</f>
        <v/>
      </c>
      <c r="C55" s="18" t="n">
        <v>0</v>
      </c>
      <c r="D55" s="18" t="n"/>
      <c r="E55" s="18">
        <f>D55-C55+E54</f>
        <v/>
      </c>
      <c r="F55" s="35" t="n">
        <v>135</v>
      </c>
      <c r="G55" s="18" t="n"/>
      <c r="H55" s="18">
        <f>G55-F55+H54</f>
        <v/>
      </c>
      <c r="I55" s="22" t="n"/>
      <c r="J55" s="44">
        <f>C55+F55+I55</f>
        <v/>
      </c>
    </row>
    <row r="56">
      <c r="B56" s="37">
        <f>B55+1</f>
        <v/>
      </c>
      <c r="C56" s="18" t="n">
        <v>0</v>
      </c>
      <c r="D56" s="18" t="n"/>
      <c r="E56" s="18">
        <f>D56-C56+E55</f>
        <v/>
      </c>
      <c r="F56" s="35" t="n">
        <v>135</v>
      </c>
      <c r="G56" s="18" t="n"/>
      <c r="H56" s="18">
        <f>G56-F56+H55</f>
        <v/>
      </c>
      <c r="I56" s="22" t="n"/>
      <c r="J56" s="44">
        <f>C56+F56+I56</f>
        <v/>
      </c>
    </row>
    <row r="57">
      <c r="B57" s="37">
        <f>B56+1</f>
        <v/>
      </c>
      <c r="C57" s="18" t="n">
        <v>0</v>
      </c>
      <c r="D57" s="18" t="n"/>
      <c r="E57" s="18">
        <f>D57-C57+E56</f>
        <v/>
      </c>
      <c r="F57" s="35" t="n">
        <v>135</v>
      </c>
      <c r="G57" s="18" t="n"/>
      <c r="H57" s="18">
        <f>G57-F57+H56</f>
        <v/>
      </c>
      <c r="I57" s="22" t="n"/>
      <c r="J57" s="44">
        <f>C57+F57+I57</f>
        <v/>
      </c>
    </row>
    <row r="58">
      <c r="B58" s="23">
        <f>B57+1</f>
        <v/>
      </c>
      <c r="C58" s="24" t="n">
        <v>0</v>
      </c>
      <c r="D58" s="24" t="n"/>
      <c r="E58" s="24">
        <f>D58-C58+E57</f>
        <v/>
      </c>
      <c r="F58" s="25" t="n">
        <v>0</v>
      </c>
      <c r="G58" s="24" t="n"/>
      <c r="H58" s="24">
        <f>G58-F58+H57</f>
        <v/>
      </c>
      <c r="I58" s="26" t="n"/>
      <c r="J58" s="46" t="n"/>
    </row>
    <row r="59" ht="15.75" customHeight="1" thickBot="1">
      <c r="B59" s="27">
        <f>B58+1</f>
        <v/>
      </c>
      <c r="C59" s="28" t="n">
        <v>0</v>
      </c>
      <c r="D59" s="28" t="n"/>
      <c r="E59" s="28">
        <f>D59-C59+E58</f>
        <v/>
      </c>
      <c r="F59" s="29" t="n"/>
      <c r="G59" s="28" t="n"/>
      <c r="H59" s="28">
        <f>G59-F59+H58</f>
        <v/>
      </c>
      <c r="I59" s="30" t="n"/>
      <c r="J59" s="47" t="n"/>
    </row>
    <row r="60">
      <c r="B60" s="13">
        <f>B59+1</f>
        <v/>
      </c>
      <c r="C60" s="32" t="n">
        <v>0</v>
      </c>
      <c r="D60" s="32" t="n"/>
      <c r="E60" s="32">
        <f>D60-C60+E59</f>
        <v/>
      </c>
      <c r="F60" s="33" t="n">
        <v>135</v>
      </c>
      <c r="G60" s="32" t="n"/>
      <c r="H60" s="32">
        <f>G60-F60+H59</f>
        <v/>
      </c>
      <c r="I60" s="34" t="n"/>
      <c r="J60" s="48">
        <f>C60+F60+I60</f>
        <v/>
      </c>
    </row>
    <row r="61">
      <c r="B61" s="37">
        <f>B60+1</f>
        <v/>
      </c>
      <c r="C61" s="19" t="n">
        <v>0</v>
      </c>
      <c r="D61" s="19" t="n"/>
      <c r="E61" s="19">
        <f>D61-C61+E60</f>
        <v/>
      </c>
      <c r="F61" s="20" t="n">
        <v>0</v>
      </c>
      <c r="G61" s="19" t="n"/>
      <c r="H61" s="19">
        <f>G61-F61+H60</f>
        <v/>
      </c>
      <c r="I61" s="21" t="n">
        <v>100</v>
      </c>
      <c r="J61" s="45">
        <f>C61+F61+I61</f>
        <v/>
      </c>
    </row>
    <row r="62">
      <c r="B62" s="37">
        <f>B61+1</f>
        <v/>
      </c>
      <c r="C62" s="18" t="n">
        <v>0</v>
      </c>
      <c r="D62" s="18" t="n"/>
      <c r="E62" s="18">
        <f>D62-C62+E61</f>
        <v/>
      </c>
      <c r="F62" s="35" t="n">
        <v>135</v>
      </c>
      <c r="G62" s="18" t="n"/>
      <c r="H62" s="18">
        <f>G62-F62+H61</f>
        <v/>
      </c>
      <c r="I62" s="22" t="n"/>
      <c r="J62" s="44">
        <f>C62+F62+I62</f>
        <v/>
      </c>
    </row>
    <row r="63">
      <c r="B63" s="37">
        <f>B62+1</f>
        <v/>
      </c>
      <c r="C63" s="18" t="n">
        <v>0</v>
      </c>
      <c r="D63" s="18" t="n"/>
      <c r="E63" s="18">
        <f>D63-C63+E62</f>
        <v/>
      </c>
      <c r="F63" s="35" t="n">
        <v>135</v>
      </c>
      <c r="G63" s="18" t="n"/>
      <c r="H63" s="18">
        <f>G63-F63+H62</f>
        <v/>
      </c>
      <c r="I63" s="22" t="n"/>
      <c r="J63" s="44">
        <f>C63+F63+I63</f>
        <v/>
      </c>
    </row>
    <row r="64">
      <c r="B64" s="37">
        <f>B63+1</f>
        <v/>
      </c>
      <c r="C64" s="18" t="n">
        <v>0</v>
      </c>
      <c r="D64" s="18" t="n"/>
      <c r="E64" s="18">
        <f>D64-C64+E63</f>
        <v/>
      </c>
      <c r="F64" s="35" t="n">
        <v>135</v>
      </c>
      <c r="G64" s="18" t="n"/>
      <c r="H64" s="18">
        <f>G64-F64+H63</f>
        <v/>
      </c>
      <c r="I64" s="22" t="n"/>
      <c r="J64" s="44">
        <f>C64+F64+I64</f>
        <v/>
      </c>
    </row>
    <row r="65">
      <c r="B65" s="23">
        <f>B64+1</f>
        <v/>
      </c>
      <c r="C65" s="24" t="n">
        <v>0</v>
      </c>
      <c r="D65" s="24" t="n"/>
      <c r="E65" s="24">
        <f>D65-C65+E64</f>
        <v/>
      </c>
      <c r="F65" s="25" t="n">
        <v>0</v>
      </c>
      <c r="G65" s="24" t="n"/>
      <c r="H65" s="24">
        <f>G65-F65+H64</f>
        <v/>
      </c>
      <c r="I65" s="26" t="n"/>
      <c r="J65" s="46" t="n"/>
    </row>
    <row r="66" ht="15.75" customHeight="1" thickBot="1">
      <c r="B66" s="27">
        <f>B65+1</f>
        <v/>
      </c>
      <c r="C66" s="28" t="n">
        <v>0</v>
      </c>
      <c r="D66" s="28" t="n"/>
      <c r="E66" s="28">
        <f>D66-C66+E65</f>
        <v/>
      </c>
      <c r="F66" s="29" t="n"/>
      <c r="G66" s="28" t="n"/>
      <c r="H66" s="28">
        <f>G66-F66+H65</f>
        <v/>
      </c>
      <c r="I66" s="30" t="n"/>
      <c r="J66" s="47" t="n"/>
    </row>
    <row r="67">
      <c r="B67" s="13">
        <f>B66+1</f>
        <v/>
      </c>
      <c r="C67" s="32" t="n">
        <v>0</v>
      </c>
      <c r="D67" s="32" t="n"/>
      <c r="E67" s="32">
        <f>D67-C67+E66</f>
        <v/>
      </c>
      <c r="F67" s="33" t="n">
        <v>135</v>
      </c>
      <c r="G67" s="32" t="n"/>
      <c r="H67" s="32">
        <f>G67-F67+H66</f>
        <v/>
      </c>
      <c r="I67" s="34" t="n"/>
      <c r="J67" s="48">
        <f>C67+F67+I67</f>
        <v/>
      </c>
    </row>
    <row r="68">
      <c r="B68" s="37">
        <f>B67+1</f>
        <v/>
      </c>
      <c r="C68" s="18" t="n">
        <v>0</v>
      </c>
      <c r="D68" s="18" t="n"/>
      <c r="E68" s="18">
        <f>D68-C68+E67</f>
        <v/>
      </c>
      <c r="F68" s="35" t="n">
        <v>135</v>
      </c>
      <c r="G68" s="18" t="n"/>
      <c r="H68" s="18">
        <f>G68-F68+H67</f>
        <v/>
      </c>
      <c r="I68" s="22" t="n"/>
      <c r="J68" s="44">
        <f>C68+F68+I68</f>
        <v/>
      </c>
    </row>
    <row r="69">
      <c r="B69" s="37">
        <f>B68+1</f>
        <v/>
      </c>
      <c r="C69" s="18" t="n">
        <v>0</v>
      </c>
      <c r="D69" s="18" t="n"/>
      <c r="E69" s="18">
        <f>D69-C69+E68</f>
        <v/>
      </c>
      <c r="F69" s="35" t="n">
        <v>135</v>
      </c>
      <c r="G69" s="18" t="n"/>
      <c r="H69" s="18">
        <f>G69-F69+H68</f>
        <v/>
      </c>
      <c r="I69" s="22" t="n"/>
      <c r="J69" s="44">
        <f>C69+F69+I69</f>
        <v/>
      </c>
    </row>
    <row r="70">
      <c r="B70" s="37">
        <f>B69+1</f>
        <v/>
      </c>
      <c r="C70" s="19" t="n">
        <v>0</v>
      </c>
      <c r="D70" s="19" t="n"/>
      <c r="E70" s="19">
        <f>D70-C70+E69</f>
        <v/>
      </c>
      <c r="F70" s="20" t="n">
        <v>0</v>
      </c>
      <c r="G70" s="19" t="n"/>
      <c r="H70" s="19">
        <f>G70-F70+H69</f>
        <v/>
      </c>
      <c r="I70" s="21" t="n">
        <v>100</v>
      </c>
      <c r="J70" s="45">
        <f>C70+F70+I70</f>
        <v/>
      </c>
    </row>
    <row r="71">
      <c r="B71" s="23">
        <f>B70+1</f>
        <v/>
      </c>
      <c r="C71" s="24" t="n">
        <v>0</v>
      </c>
      <c r="D71" s="24" t="n"/>
      <c r="E71" s="24">
        <f>D71-C71+E70</f>
        <v/>
      </c>
      <c r="F71" s="25" t="n">
        <v>0</v>
      </c>
      <c r="G71" s="24" t="n"/>
      <c r="H71" s="24">
        <f>G71-F71+H70</f>
        <v/>
      </c>
      <c r="I71" s="26" t="n"/>
      <c r="J71" s="49">
        <f>C71+F71+I71</f>
        <v/>
      </c>
      <c r="K71" s="40" t="inlineStr">
        <is>
          <t>Good Friday Stat Holiday</t>
        </is>
      </c>
    </row>
    <row r="72">
      <c r="B72" s="23">
        <f>B71+1</f>
        <v/>
      </c>
      <c r="C72" s="24" t="n">
        <v>0</v>
      </c>
      <c r="D72" s="24" t="n"/>
      <c r="E72" s="24">
        <f>D72-C72+E71</f>
        <v/>
      </c>
      <c r="F72" s="25" t="n">
        <v>0</v>
      </c>
      <c r="G72" s="24" t="n"/>
      <c r="H72" s="24">
        <f>G72-F72+H71</f>
        <v/>
      </c>
      <c r="I72" s="26" t="n"/>
      <c r="J72" s="46" t="n"/>
      <c r="K72" s="40" t="n"/>
    </row>
    <row r="73" ht="15.75" customHeight="1" thickBot="1">
      <c r="B73" s="27">
        <f>B72+1</f>
        <v/>
      </c>
      <c r="C73" s="28" t="n">
        <v>0</v>
      </c>
      <c r="D73" s="28" t="n"/>
      <c r="E73" s="28">
        <f>D73-C73+E72</f>
        <v/>
      </c>
      <c r="F73" s="29" t="n"/>
      <c r="G73" s="28" t="n"/>
      <c r="H73" s="28">
        <f>G73-F73+H72</f>
        <v/>
      </c>
      <c r="I73" s="30" t="n"/>
      <c r="J73" s="47" t="n"/>
    </row>
    <row r="74">
      <c r="B74" s="13">
        <f>B73+1</f>
        <v/>
      </c>
      <c r="C74" s="32" t="n">
        <v>135</v>
      </c>
      <c r="D74" s="32" t="n">
        <v>900</v>
      </c>
      <c r="E74" s="32">
        <f>D74-C74+E73</f>
        <v/>
      </c>
      <c r="F74" s="33" t="n">
        <v>0</v>
      </c>
      <c r="G74" s="32" t="n">
        <v>575</v>
      </c>
      <c r="H74" s="32">
        <f>G74-F74+H73</f>
        <v/>
      </c>
      <c r="I74" s="34" t="n"/>
      <c r="J74" s="48">
        <f>C74+F74+I74</f>
        <v/>
      </c>
    </row>
    <row r="75">
      <c r="B75" s="37">
        <f>B74+1</f>
        <v/>
      </c>
      <c r="C75" s="18" t="n">
        <v>135</v>
      </c>
      <c r="D75" s="18" t="n"/>
      <c r="E75" s="18">
        <f>D75-C75+E74</f>
        <v/>
      </c>
      <c r="F75" s="35" t="n">
        <v>0</v>
      </c>
      <c r="G75" s="18" t="n"/>
      <c r="H75" s="18">
        <f>G75-F75+H74</f>
        <v/>
      </c>
      <c r="I75" s="22" t="n"/>
      <c r="J75" s="44">
        <f>C75+F75+I75</f>
        <v/>
      </c>
    </row>
    <row r="76">
      <c r="B76" s="37">
        <f>B75+1</f>
        <v/>
      </c>
      <c r="C76" s="18" t="n">
        <v>135</v>
      </c>
      <c r="D76" s="18" t="n"/>
      <c r="E76" s="18">
        <f>D76-C76+E75</f>
        <v/>
      </c>
      <c r="F76" s="35" t="n">
        <v>0</v>
      </c>
      <c r="G76" s="18" t="n"/>
      <c r="H76" s="18">
        <f>G76-F76+H75</f>
        <v/>
      </c>
      <c r="I76" s="22" t="n"/>
      <c r="J76" s="44">
        <f>C76+F76+I76</f>
        <v/>
      </c>
    </row>
    <row r="77">
      <c r="B77" s="37">
        <f>B76+1</f>
        <v/>
      </c>
      <c r="C77" s="19" t="n">
        <v>0</v>
      </c>
      <c r="D77" s="19" t="n"/>
      <c r="E77" s="19">
        <f>D77-C77+E76</f>
        <v/>
      </c>
      <c r="F77" s="20" t="n">
        <v>0</v>
      </c>
      <c r="G77" s="19" t="n"/>
      <c r="H77" s="19">
        <f>G77-F77+H76</f>
        <v/>
      </c>
      <c r="I77" s="21" t="n">
        <v>100</v>
      </c>
      <c r="J77" s="45">
        <f>C77+F77+I77</f>
        <v/>
      </c>
    </row>
    <row r="78">
      <c r="B78" s="37">
        <f>B77+1</f>
        <v/>
      </c>
      <c r="C78" s="18" t="n">
        <v>135</v>
      </c>
      <c r="D78" s="18" t="n"/>
      <c r="E78" s="18">
        <f>D78-C78+E77</f>
        <v/>
      </c>
      <c r="F78" s="35" t="n">
        <v>0</v>
      </c>
      <c r="G78" s="18" t="n"/>
      <c r="H78" s="18">
        <f>G78-F78+H77</f>
        <v/>
      </c>
      <c r="I78" s="22" t="n"/>
      <c r="J78" s="44">
        <f>C78+F78+I78</f>
        <v/>
      </c>
    </row>
    <row r="79">
      <c r="B79" s="23">
        <f>B78+1</f>
        <v/>
      </c>
      <c r="C79" s="24" t="n">
        <v>0</v>
      </c>
      <c r="D79" s="24" t="n"/>
      <c r="E79" s="24">
        <f>D79-C79+E78</f>
        <v/>
      </c>
      <c r="F79" s="25" t="n">
        <v>0</v>
      </c>
      <c r="G79" s="24" t="n"/>
      <c r="H79" s="24">
        <f>G79-F79+H78</f>
        <v/>
      </c>
      <c r="I79" s="26" t="n"/>
      <c r="J79" s="46" t="n"/>
    </row>
    <row r="80" ht="15.75" customHeight="1" thickBot="1">
      <c r="B80" s="27">
        <f>B79+1</f>
        <v/>
      </c>
      <c r="C80" s="28" t="n">
        <v>0</v>
      </c>
      <c r="D80" s="28" t="n"/>
      <c r="E80" s="28">
        <f>D80-C80+E79</f>
        <v/>
      </c>
      <c r="F80" s="29" t="n"/>
      <c r="G80" s="28" t="n"/>
      <c r="H80" s="28">
        <f>G80-F80+H79</f>
        <v/>
      </c>
      <c r="I80" s="30" t="n"/>
      <c r="J80" s="47" t="n"/>
    </row>
    <row r="81">
      <c r="B81" s="13">
        <f>B80+1</f>
        <v/>
      </c>
      <c r="C81" s="32" t="n">
        <v>135</v>
      </c>
      <c r="D81" s="32" t="n"/>
      <c r="E81" s="32">
        <f>D81-C81+E80</f>
        <v/>
      </c>
      <c r="F81" s="33" t="n">
        <v>0</v>
      </c>
      <c r="G81" s="32" t="n"/>
      <c r="H81" s="32">
        <f>G81-F81+H80</f>
        <v/>
      </c>
      <c r="I81" s="34" t="n"/>
      <c r="J81" s="48">
        <f>C81+F81+I81</f>
        <v/>
      </c>
    </row>
    <row r="82">
      <c r="B82" s="37">
        <f>B81+1</f>
        <v/>
      </c>
      <c r="C82" s="18" t="n">
        <v>135</v>
      </c>
      <c r="D82" s="18" t="n"/>
      <c r="E82" s="18">
        <f>D82-C82+E81</f>
        <v/>
      </c>
      <c r="F82" s="35" t="n">
        <v>0</v>
      </c>
      <c r="G82" s="18" t="n"/>
      <c r="H82" s="18">
        <f>G82-F82+H81</f>
        <v/>
      </c>
      <c r="I82" s="22" t="n"/>
      <c r="J82" s="44">
        <f>C82+F82+I82</f>
        <v/>
      </c>
      <c r="K82" s="40" t="n"/>
    </row>
    <row r="83">
      <c r="B83" s="37">
        <f>B82+1</f>
        <v/>
      </c>
      <c r="C83" s="18" t="n">
        <v>135</v>
      </c>
      <c r="D83" s="18" t="n"/>
      <c r="E83" s="18">
        <f>D83-C83+E82</f>
        <v/>
      </c>
      <c r="F83" s="35" t="n">
        <v>0</v>
      </c>
      <c r="G83" s="18" t="n"/>
      <c r="H83" s="18">
        <f>G83-F83+H82</f>
        <v/>
      </c>
      <c r="I83" s="22" t="n"/>
      <c r="J83" s="44">
        <f>C83+F83+I83</f>
        <v/>
      </c>
    </row>
    <row r="84">
      <c r="B84" s="37">
        <f>B83+1</f>
        <v/>
      </c>
      <c r="C84" s="19" t="n">
        <v>0</v>
      </c>
      <c r="D84" s="19" t="n"/>
      <c r="E84" s="19">
        <f>D84-C84+E83</f>
        <v/>
      </c>
      <c r="F84" s="20" t="n">
        <v>0</v>
      </c>
      <c r="G84" s="19" t="n"/>
      <c r="H84" s="19">
        <f>G84-F84+H83</f>
        <v/>
      </c>
      <c r="I84" s="21" t="n">
        <v>100</v>
      </c>
      <c r="J84" s="45">
        <f>C84+F84+I84</f>
        <v/>
      </c>
      <c r="K84" s="40" t="inlineStr">
        <is>
          <t>Cut off day for Production to Catch up to April Production</t>
        </is>
      </c>
    </row>
    <row r="85">
      <c r="B85" s="37">
        <f>B84+1</f>
        <v/>
      </c>
      <c r="C85" s="18" t="n">
        <v>135</v>
      </c>
      <c r="D85" s="18" t="n"/>
      <c r="E85" s="18">
        <f>D85-C85+E84</f>
        <v/>
      </c>
      <c r="F85" s="35" t="n">
        <v>0</v>
      </c>
      <c r="G85" s="18" t="n"/>
      <c r="H85" s="18">
        <f>G85-F85+H84</f>
        <v/>
      </c>
      <c r="I85" s="22" t="n"/>
      <c r="J85" s="44">
        <f>C85+F85+I85</f>
        <v/>
      </c>
    </row>
    <row r="86">
      <c r="B86" s="23">
        <f>B85+1</f>
        <v/>
      </c>
      <c r="C86" s="24" t="n">
        <v>0</v>
      </c>
      <c r="D86" s="24" t="n"/>
      <c r="E86" s="24">
        <f>D86-C86+E85</f>
        <v/>
      </c>
      <c r="F86" s="25" t="n">
        <v>0</v>
      </c>
      <c r="G86" s="24" t="n"/>
      <c r="H86" s="24">
        <f>G86-F86+H85</f>
        <v/>
      </c>
      <c r="I86" s="26" t="n"/>
      <c r="J86" s="46" t="n"/>
    </row>
    <row r="87" ht="15.75" customHeight="1" thickBot="1">
      <c r="B87" s="27">
        <f>B86+1</f>
        <v/>
      </c>
      <c r="C87" s="28" t="n">
        <v>0</v>
      </c>
      <c r="D87" s="28" t="n"/>
      <c r="E87" s="28">
        <f>D87-C87+E86</f>
        <v/>
      </c>
      <c r="F87" s="29" t="n"/>
      <c r="G87" s="28" t="n"/>
      <c r="H87" s="28">
        <f>G87-F87+H86</f>
        <v/>
      </c>
      <c r="I87" s="30" t="n"/>
      <c r="J87" s="47" t="n"/>
    </row>
    <row r="88">
      <c r="B88" s="13">
        <f>B87+1</f>
        <v/>
      </c>
      <c r="C88" s="32" t="n">
        <v>135</v>
      </c>
      <c r="D88" s="32" t="n"/>
      <c r="E88" s="32">
        <f>D88-C88+E87</f>
        <v/>
      </c>
      <c r="F88" s="33" t="n">
        <v>0</v>
      </c>
      <c r="G88" s="32" t="n"/>
      <c r="H88" s="32">
        <f>G88-F88+H87</f>
        <v/>
      </c>
      <c r="I88" s="34" t="n"/>
      <c r="J88" s="48">
        <f>C88+F88+I88</f>
        <v/>
      </c>
    </row>
    <row r="89">
      <c r="B89" s="37">
        <f>B88+1</f>
        <v/>
      </c>
      <c r="C89" s="18" t="n">
        <v>135</v>
      </c>
      <c r="D89" s="18" t="n"/>
      <c r="E89" s="18">
        <f>D89-C89+E88</f>
        <v/>
      </c>
      <c r="F89" s="35" t="n">
        <v>0</v>
      </c>
      <c r="G89" s="18" t="n"/>
      <c r="H89" s="18">
        <f>G89-F89+H88</f>
        <v/>
      </c>
      <c r="I89" s="22" t="n"/>
      <c r="J89" s="44">
        <f>C89+F89+I89</f>
        <v/>
      </c>
    </row>
    <row r="90">
      <c r="B90" s="37">
        <f>B89+1</f>
        <v/>
      </c>
      <c r="C90" s="18" t="n">
        <v>135</v>
      </c>
      <c r="D90" s="18" t="n"/>
      <c r="E90" s="18">
        <f>D90-C90+E89</f>
        <v/>
      </c>
      <c r="F90" s="35" t="n">
        <v>0</v>
      </c>
      <c r="G90" s="18" t="n"/>
      <c r="H90" s="18">
        <f>G90-F90+H89</f>
        <v/>
      </c>
      <c r="I90" s="22" t="n"/>
      <c r="J90" s="44">
        <f>C90+F90+I90</f>
        <v/>
      </c>
    </row>
    <row r="91">
      <c r="B91" s="37">
        <f>B90+1</f>
        <v/>
      </c>
      <c r="C91" s="19" t="n">
        <v>0</v>
      </c>
      <c r="D91" s="19" t="n"/>
      <c r="E91" s="19">
        <f>D91-C91+E90</f>
        <v/>
      </c>
      <c r="F91" s="20" t="n">
        <v>0</v>
      </c>
      <c r="G91" s="19" t="n"/>
      <c r="H91" s="19">
        <f>G91-F91+H90</f>
        <v/>
      </c>
      <c r="I91" s="21" t="n">
        <v>100</v>
      </c>
      <c r="J91" s="45">
        <f>C91+F91+I91</f>
        <v/>
      </c>
    </row>
    <row r="92">
      <c r="B92" s="37">
        <f>B91+1</f>
        <v/>
      </c>
      <c r="C92" s="18" t="n">
        <v>135</v>
      </c>
      <c r="D92" s="18" t="n"/>
      <c r="E92" s="18">
        <f>D92-C92+E91</f>
        <v/>
      </c>
      <c r="F92" s="35" t="n">
        <v>0</v>
      </c>
      <c r="G92" s="18" t="n"/>
      <c r="H92" s="18">
        <f>G92-F92+H91</f>
        <v/>
      </c>
      <c r="I92" s="22" t="n"/>
      <c r="J92" s="44">
        <f>C92+F92+I92</f>
        <v/>
      </c>
    </row>
    <row r="93">
      <c r="B93" s="23">
        <f>B92+1</f>
        <v/>
      </c>
      <c r="C93" s="24" t="n">
        <v>0</v>
      </c>
      <c r="D93" s="24" t="n"/>
      <c r="E93" s="24">
        <f>D93-C93+E92</f>
        <v/>
      </c>
      <c r="F93" s="25" t="n">
        <v>0</v>
      </c>
      <c r="G93" s="24" t="n"/>
      <c r="H93" s="24">
        <f>G93-F93+H92</f>
        <v/>
      </c>
      <c r="I93" s="26" t="n"/>
      <c r="J93" s="46" t="n"/>
    </row>
    <row r="94" ht="15.75" customHeight="1" thickBot="1">
      <c r="B94" s="27">
        <f>B93+1</f>
        <v/>
      </c>
      <c r="C94" s="28" t="n">
        <v>0</v>
      </c>
      <c r="D94" s="28" t="n"/>
      <c r="E94" s="28">
        <f>D94-C94+E93</f>
        <v/>
      </c>
      <c r="F94" s="29" t="n"/>
      <c r="G94" s="28" t="n"/>
      <c r="H94" s="28">
        <f>G94-F94+H93</f>
        <v/>
      </c>
      <c r="I94" s="30" t="n"/>
      <c r="J94" s="47" t="n"/>
    </row>
    <row r="95">
      <c r="B95" s="13">
        <f>B94+1</f>
        <v/>
      </c>
      <c r="C95" s="32" t="n">
        <v>135</v>
      </c>
      <c r="D95" s="32" t="n"/>
      <c r="E95" s="32">
        <f>D95-C95+E94</f>
        <v/>
      </c>
      <c r="F95" s="33" t="n">
        <v>0</v>
      </c>
      <c r="G95" s="32" t="n"/>
      <c r="H95" s="32">
        <f>G95-F95+H94</f>
        <v/>
      </c>
      <c r="I95" s="34" t="n"/>
      <c r="J95" s="48">
        <f>C95+F95+I95</f>
        <v/>
      </c>
    </row>
    <row r="96">
      <c r="B96" s="37">
        <f>B95+1</f>
        <v/>
      </c>
      <c r="C96" s="18" t="n">
        <v>15</v>
      </c>
      <c r="D96" s="18" t="n"/>
      <c r="E96" s="18">
        <f>D96-C96+E95</f>
        <v/>
      </c>
      <c r="F96" s="35" t="n">
        <v>120</v>
      </c>
      <c r="G96" s="18" t="n"/>
      <c r="H96" s="18">
        <f>G96-F96+H95</f>
        <v/>
      </c>
      <c r="I96" s="22" t="n"/>
      <c r="J96" s="44">
        <f>C96+F96+I96</f>
        <v/>
      </c>
    </row>
    <row r="97">
      <c r="B97" s="37">
        <f>B96+1</f>
        <v/>
      </c>
      <c r="C97" s="18" t="n">
        <v>0</v>
      </c>
      <c r="D97" s="18" t="n"/>
      <c r="E97" s="18">
        <f>D97-C97+E96</f>
        <v/>
      </c>
      <c r="F97" s="35" t="n">
        <v>135</v>
      </c>
      <c r="G97" s="18" t="n"/>
      <c r="H97" s="18">
        <f>G97-F97+H96</f>
        <v/>
      </c>
      <c r="I97" s="22" t="n"/>
      <c r="J97" s="44">
        <f>C97+F97+I97</f>
        <v/>
      </c>
    </row>
    <row r="98">
      <c r="B98" s="37">
        <f>B97+1</f>
        <v/>
      </c>
      <c r="C98" s="19" t="n">
        <v>0</v>
      </c>
      <c r="D98" s="19" t="n"/>
      <c r="E98" s="19">
        <f>D98-C98+E97</f>
        <v/>
      </c>
      <c r="F98" s="20" t="n">
        <v>0</v>
      </c>
      <c r="G98" s="19" t="n"/>
      <c r="H98" s="19">
        <f>G98-F98+H97</f>
        <v/>
      </c>
      <c r="I98" s="21" t="n">
        <v>100</v>
      </c>
      <c r="J98" s="45">
        <f>C98+F98+I98</f>
        <v/>
      </c>
    </row>
    <row r="99">
      <c r="B99" s="37">
        <f>B98+1</f>
        <v/>
      </c>
      <c r="C99" s="18" t="n">
        <v>0</v>
      </c>
      <c r="D99" s="18" t="n"/>
      <c r="E99" s="18">
        <f>D99-C99+E98</f>
        <v/>
      </c>
      <c r="F99" s="35" t="n">
        <v>135</v>
      </c>
      <c r="G99" s="18" t="n"/>
      <c r="H99" s="18">
        <f>G99-F99+H98</f>
        <v/>
      </c>
      <c r="I99" s="22" t="n"/>
      <c r="J99" s="44">
        <f>C99+F99+I99</f>
        <v/>
      </c>
    </row>
    <row r="100">
      <c r="B100" s="23">
        <f>B99+1</f>
        <v/>
      </c>
      <c r="C100" s="24" t="n">
        <v>0</v>
      </c>
      <c r="D100" s="24" t="n"/>
      <c r="E100" s="24">
        <f>D100-C100+E99</f>
        <v/>
      </c>
      <c r="F100" s="25" t="n">
        <v>0</v>
      </c>
      <c r="G100" s="24" t="n"/>
      <c r="H100" s="24">
        <f>G100-F100+H99</f>
        <v/>
      </c>
      <c r="I100" s="26" t="n"/>
      <c r="J100" s="46" t="n"/>
    </row>
    <row r="101" ht="15.75" customHeight="1" thickBot="1">
      <c r="B101" s="27">
        <f>B100+1</f>
        <v/>
      </c>
      <c r="C101" s="28" t="n">
        <v>0</v>
      </c>
      <c r="D101" s="28" t="n"/>
      <c r="E101" s="28">
        <f>D101-C101+E100</f>
        <v/>
      </c>
      <c r="F101" s="29" t="n"/>
      <c r="G101" s="28" t="n"/>
      <c r="H101" s="28">
        <f>G101-F101+H100</f>
        <v/>
      </c>
      <c r="I101" s="30" t="n"/>
      <c r="J101" s="47" t="n"/>
    </row>
    <row r="102">
      <c r="B102" s="13">
        <f>B101+1</f>
        <v/>
      </c>
      <c r="C102" s="32" t="n">
        <v>0</v>
      </c>
      <c r="D102" s="32" t="n"/>
      <c r="E102" s="32">
        <f>D102-C102+E101</f>
        <v/>
      </c>
      <c r="F102" s="33" t="n">
        <v>135</v>
      </c>
      <c r="G102" s="32" t="n"/>
      <c r="H102" s="32">
        <f>G102-F102+H101</f>
        <v/>
      </c>
      <c r="I102" s="34" t="n"/>
      <c r="J102" s="48">
        <f>C102+F102+I102</f>
        <v/>
      </c>
    </row>
    <row r="103">
      <c r="B103" s="37">
        <f>B102+1</f>
        <v/>
      </c>
      <c r="C103" s="18" t="n">
        <v>0</v>
      </c>
      <c r="D103" s="18" t="n">
        <v>900</v>
      </c>
      <c r="E103" s="18">
        <f>D103-C103+E102</f>
        <v/>
      </c>
      <c r="F103" s="35" t="n">
        <v>135</v>
      </c>
      <c r="G103" s="18" t="n">
        <v>575</v>
      </c>
      <c r="H103" s="18">
        <f>G103-F103+H102</f>
        <v/>
      </c>
      <c r="I103" s="22" t="n"/>
      <c r="J103" s="44">
        <f>C103+F103+I103</f>
        <v/>
      </c>
    </row>
    <row r="104">
      <c r="B104" s="37">
        <f>B103+1</f>
        <v/>
      </c>
      <c r="C104" s="18" t="n">
        <v>0</v>
      </c>
      <c r="D104" s="18" t="n"/>
      <c r="E104" s="18">
        <f>D104-C104+E103</f>
        <v/>
      </c>
      <c r="F104" s="35" t="n">
        <v>135</v>
      </c>
      <c r="G104" s="18" t="n"/>
      <c r="H104" s="18">
        <f>G104-F104+H103</f>
        <v/>
      </c>
      <c r="I104" s="22" t="n"/>
      <c r="J104" s="44">
        <f>C104+F104+I104</f>
        <v/>
      </c>
    </row>
    <row r="105">
      <c r="B105" s="37">
        <f>B104+1</f>
        <v/>
      </c>
      <c r="C105" s="19" t="n">
        <v>0</v>
      </c>
      <c r="D105" s="19" t="n"/>
      <c r="E105" s="19">
        <f>D105-C105+E104</f>
        <v/>
      </c>
      <c r="F105" s="20" t="n">
        <v>0</v>
      </c>
      <c r="G105" s="19" t="n"/>
      <c r="H105" s="19">
        <f>G105-F105+H104</f>
        <v/>
      </c>
      <c r="I105" s="21" t="n">
        <v>100</v>
      </c>
      <c r="J105" s="45">
        <f>C105+F105+I105</f>
        <v/>
      </c>
    </row>
    <row r="106">
      <c r="B106" s="37">
        <f>B105+1</f>
        <v/>
      </c>
      <c r="C106" s="18" t="n">
        <v>0</v>
      </c>
      <c r="D106" s="18" t="n"/>
      <c r="E106" s="18">
        <f>D106-C106+E105</f>
        <v/>
      </c>
      <c r="F106" s="35" t="n">
        <v>135</v>
      </c>
      <c r="G106" s="18" t="n"/>
      <c r="H106" s="18">
        <f>G106-F106+H105</f>
        <v/>
      </c>
      <c r="I106" s="22" t="n"/>
      <c r="J106" s="44">
        <f>C106+F106+I106</f>
        <v/>
      </c>
    </row>
    <row r="107">
      <c r="B107" s="23">
        <f>B106+1</f>
        <v/>
      </c>
      <c r="C107" s="24" t="n">
        <v>0</v>
      </c>
      <c r="D107" s="24" t="n"/>
      <c r="E107" s="24">
        <f>D107-C107+E106</f>
        <v/>
      </c>
      <c r="F107" s="25" t="n">
        <v>0</v>
      </c>
      <c r="G107" s="24" t="n"/>
      <c r="H107" s="24">
        <f>G107-F107+H106</f>
        <v/>
      </c>
      <c r="I107" s="26" t="n"/>
      <c r="J107" s="46" t="n"/>
    </row>
    <row r="108" ht="15.75" customHeight="1" thickBot="1">
      <c r="B108" s="27">
        <f>B107+1</f>
        <v/>
      </c>
      <c r="C108" s="28" t="n">
        <v>0</v>
      </c>
      <c r="D108" s="28" t="n"/>
      <c r="E108" s="28">
        <f>D108-C108+E107</f>
        <v/>
      </c>
      <c r="F108" s="29" t="n"/>
      <c r="G108" s="28" t="n"/>
      <c r="H108" s="28">
        <f>G108-F108+H107</f>
        <v/>
      </c>
      <c r="I108" s="30" t="n"/>
      <c r="J108" s="47" t="n"/>
    </row>
  </sheetData>
  <pageMargins left="0.61" right="0.32" top="0.71" bottom="0.7" header="0.5" footer="0.5"/>
  <pageSetup orientation="landscape" scale="105"/>
  <headerFooter alignWithMargins="0">
    <oddHeader>&amp;C&amp;"Arial,Bold"Algonquin 180L Running Board Status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08"/>
  <sheetViews>
    <sheetView workbookViewId="0">
      <pane ySplit="3" topLeftCell="A22" activePane="bottomLeft" state="frozen"/>
      <selection pane="bottomLeft" activeCell="K32" sqref="K32"/>
    </sheetView>
  </sheetViews>
  <sheetFormatPr baseColWidth="8" defaultRowHeight="15"/>
  <cols>
    <col width="0.5703125" customWidth="1" style="1" min="1" max="1"/>
    <col width="10.85546875" customWidth="1" style="11" min="2" max="2"/>
    <col width="9.7109375" customWidth="1" style="6" min="3" max="4"/>
    <col width="11.85546875" customWidth="1" style="6" min="5" max="5"/>
    <col width="8.5703125" customWidth="1" style="6" min="6" max="6"/>
    <col width="9.7109375" customWidth="1" style="6" min="7" max="7"/>
    <col width="11.85546875" customWidth="1" style="6" min="8" max="8"/>
    <col width="9.7109375" bestFit="1" customWidth="1" style="1" min="9" max="9"/>
    <col width="11" customWidth="1" style="38" min="10" max="10"/>
    <col width="50.7109375" bestFit="1" customWidth="1" style="1" min="11" max="11"/>
    <col width="9.140625" customWidth="1" style="1" min="12" max="16384"/>
  </cols>
  <sheetData>
    <row r="1">
      <c r="B1" s="2" t="n"/>
      <c r="C1" s="11" t="n"/>
      <c r="D1" s="11" t="n"/>
      <c r="E1" s="6" t="n"/>
      <c r="F1" s="6" t="n"/>
      <c r="G1" s="11" t="n"/>
      <c r="H1" s="6" t="n"/>
      <c r="J1" s="38" t="n"/>
    </row>
    <row r="2" ht="15.75" customHeight="1" thickBot="1">
      <c r="B2" s="2" t="n"/>
      <c r="C2" s="7" t="inlineStr">
        <is>
          <t>Wheat Bin Loads</t>
        </is>
      </c>
      <c r="D2" s="7" t="n"/>
      <c r="E2" s="8" t="n"/>
      <c r="F2" s="9" t="inlineStr">
        <is>
          <t>Canola Bin Loads</t>
        </is>
      </c>
      <c r="G2" s="9" t="n"/>
      <c r="H2" s="10" t="n"/>
      <c r="I2" s="39" t="inlineStr">
        <is>
          <t>Flax Processing</t>
        </is>
      </c>
      <c r="J2" s="42" t="n"/>
      <c r="K2" s="6" t="n"/>
    </row>
    <row r="3" ht="75" customFormat="1" customHeight="1" s="12">
      <c r="B3" s="13" t="n"/>
      <c r="C3" s="14" t="inlineStr">
        <is>
          <t>Planned Production</t>
        </is>
      </c>
      <c r="D3" s="14" t="inlineStr">
        <is>
          <t>Purchase Orders Due</t>
        </is>
      </c>
      <c r="E3" s="14" t="inlineStr">
        <is>
          <t>Cumulative Open Purchase Orders (EOD)</t>
        </is>
      </c>
      <c r="F3" s="14" t="inlineStr">
        <is>
          <t>Planned Production</t>
        </is>
      </c>
      <c r="G3" s="14" t="inlineStr">
        <is>
          <t>Purchase Orders Due</t>
        </is>
      </c>
      <c r="H3" s="14" t="inlineStr">
        <is>
          <t>Cumulative Open Purchase Orders (EOD)</t>
        </is>
      </c>
      <c r="I3" s="41" t="inlineStr">
        <is>
          <t>Actual Var to PO</t>
        </is>
      </c>
      <c r="J3" s="43" t="inlineStr">
        <is>
          <t>Total Prod</t>
        </is>
      </c>
      <c r="K3" s="11" t="inlineStr">
        <is>
          <t>Notes</t>
        </is>
      </c>
    </row>
    <row r="4">
      <c r="B4" s="37" t="n">
        <v>43122</v>
      </c>
      <c r="C4" s="18" t="n">
        <v>120</v>
      </c>
      <c r="D4" s="18" t="n">
        <v>1065</v>
      </c>
      <c r="E4" s="18">
        <f>D4-C4</f>
        <v/>
      </c>
      <c r="F4" s="18" t="n">
        <v>0</v>
      </c>
      <c r="G4" s="18">
        <f>60+240+555</f>
        <v/>
      </c>
      <c r="H4" s="18">
        <f>G4-F4</f>
        <v/>
      </c>
      <c r="I4" s="18" t="n"/>
      <c r="J4" s="44">
        <f>C4+F4+I4</f>
        <v/>
      </c>
      <c r="K4" s="6" t="n"/>
    </row>
    <row r="5">
      <c r="B5" s="37">
        <f>B4+1</f>
        <v/>
      </c>
      <c r="C5" s="18" t="n">
        <v>120</v>
      </c>
      <c r="D5" s="18" t="n"/>
      <c r="E5" s="18">
        <f>D5-C5+E4</f>
        <v/>
      </c>
      <c r="F5" s="18" t="n">
        <v>0</v>
      </c>
      <c r="G5" s="18" t="n"/>
      <c r="H5" s="18">
        <f>G5-F5+H4</f>
        <v/>
      </c>
      <c r="I5" s="18" t="n"/>
      <c r="J5" s="44">
        <f>C5+F5+I5</f>
        <v/>
      </c>
      <c r="K5" s="6" t="n"/>
    </row>
    <row r="6">
      <c r="B6" s="37">
        <f>B5+1</f>
        <v/>
      </c>
      <c r="C6" s="19" t="n">
        <v>0</v>
      </c>
      <c r="D6" s="19" t="n"/>
      <c r="E6" s="19">
        <f>D6-C6+E5</f>
        <v/>
      </c>
      <c r="F6" s="19" t="n">
        <v>0</v>
      </c>
      <c r="G6" s="19" t="n"/>
      <c r="H6" s="19">
        <f>G6-F6+H5</f>
        <v/>
      </c>
      <c r="I6" s="21" t="n">
        <v>100</v>
      </c>
      <c r="J6" s="45">
        <f>C6+F6+I6</f>
        <v/>
      </c>
      <c r="K6" s="6" t="n"/>
    </row>
    <row r="7">
      <c r="B7" s="37">
        <f>B6+1</f>
        <v/>
      </c>
      <c r="C7" s="18" t="n">
        <v>120</v>
      </c>
      <c r="D7" s="18" t="n"/>
      <c r="E7" s="18">
        <f>D7-C7+E6</f>
        <v/>
      </c>
      <c r="F7" s="18" t="n">
        <v>0</v>
      </c>
      <c r="G7" s="18" t="n"/>
      <c r="H7" s="18">
        <f>G7-F7+H6</f>
        <v/>
      </c>
      <c r="I7" s="22" t="n"/>
      <c r="J7" s="44">
        <f>C7+F7+I7</f>
        <v/>
      </c>
    </row>
    <row r="8">
      <c r="B8" s="37">
        <f>B7+1</f>
        <v/>
      </c>
      <c r="C8" s="18" t="n">
        <v>120</v>
      </c>
      <c r="D8" s="18" t="n"/>
      <c r="E8" s="18">
        <f>D8-C8+E7</f>
        <v/>
      </c>
      <c r="F8" s="18" t="n">
        <v>0</v>
      </c>
      <c r="G8" s="18" t="n"/>
      <c r="H8" s="18">
        <f>G8-F8+H7</f>
        <v/>
      </c>
      <c r="I8" s="22" t="n"/>
      <c r="J8" s="44">
        <f>C8+F8+I8</f>
        <v/>
      </c>
    </row>
    <row r="9">
      <c r="B9" s="23">
        <f>B8+1</f>
        <v/>
      </c>
      <c r="C9" s="24" t="n">
        <v>0</v>
      </c>
      <c r="D9" s="24" t="n"/>
      <c r="E9" s="24">
        <f>D9-C9+E8</f>
        <v/>
      </c>
      <c r="F9" s="24" t="n"/>
      <c r="G9" s="24" t="n"/>
      <c r="H9" s="24">
        <f>G9-F9+H8</f>
        <v/>
      </c>
      <c r="I9" s="26" t="n"/>
      <c r="J9" s="46" t="n"/>
    </row>
    <row r="10" ht="15.75" customHeight="1" thickBot="1">
      <c r="B10" s="27">
        <f>B9+1</f>
        <v/>
      </c>
      <c r="C10" s="28" t="n">
        <v>0</v>
      </c>
      <c r="D10" s="28" t="n"/>
      <c r="E10" s="28">
        <f>D10-C10+E9</f>
        <v/>
      </c>
      <c r="F10" s="28" t="n"/>
      <c r="G10" s="28" t="n"/>
      <c r="H10" s="28">
        <f>G10-F10+H9</f>
        <v/>
      </c>
      <c r="I10" s="30" t="n"/>
      <c r="J10" s="47" t="n"/>
    </row>
    <row r="11">
      <c r="B11" s="13">
        <f>B10+1</f>
        <v/>
      </c>
      <c r="C11" s="32" t="n">
        <v>120</v>
      </c>
      <c r="D11" s="18" t="n"/>
      <c r="E11" s="18">
        <f>D11-C11+E10</f>
        <v/>
      </c>
      <c r="F11" s="32" t="n">
        <v>0</v>
      </c>
      <c r="G11" s="18" t="n"/>
      <c r="H11" s="18">
        <f>G11-F11+H10</f>
        <v/>
      </c>
      <c r="I11" s="34" t="n"/>
      <c r="J11" s="44">
        <f>C11+F11+I11</f>
        <v/>
      </c>
    </row>
    <row r="12">
      <c r="B12" s="37">
        <f>B11+1</f>
        <v/>
      </c>
      <c r="C12" s="18" t="n">
        <v>120</v>
      </c>
      <c r="D12" s="18" t="n"/>
      <c r="E12" s="18">
        <f>D12-C12+E11</f>
        <v/>
      </c>
      <c r="F12" s="18" t="n">
        <v>0</v>
      </c>
      <c r="G12" s="18" t="n"/>
      <c r="H12" s="18">
        <f>G12-F12+H11</f>
        <v/>
      </c>
      <c r="I12" s="22" t="n"/>
      <c r="J12" s="44">
        <f>C12+F12+I12</f>
        <v/>
      </c>
    </row>
    <row r="13">
      <c r="B13" s="37">
        <f>B12+1</f>
        <v/>
      </c>
      <c r="C13" s="18" t="n">
        <v>120</v>
      </c>
      <c r="D13" s="18" t="n"/>
      <c r="E13" s="18">
        <f>D13-C13+E12</f>
        <v/>
      </c>
      <c r="F13" s="18" t="n">
        <v>0</v>
      </c>
      <c r="G13" s="18" t="n"/>
      <c r="H13" s="18">
        <f>G13-F13+H12</f>
        <v/>
      </c>
      <c r="I13" s="36" t="n"/>
      <c r="J13" s="44">
        <f>C13+F13+I13</f>
        <v/>
      </c>
    </row>
    <row r="14">
      <c r="B14" s="37">
        <f>B13+1</f>
        <v/>
      </c>
      <c r="C14" s="18" t="n">
        <v>120</v>
      </c>
      <c r="D14" s="18" t="n">
        <v>855</v>
      </c>
      <c r="E14" s="18">
        <f>D14-C14+E13</f>
        <v/>
      </c>
      <c r="F14" s="18" t="n">
        <v>0</v>
      </c>
      <c r="G14" s="18" t="n">
        <v>555</v>
      </c>
      <c r="H14" s="18">
        <f>G14-F14+H13</f>
        <v/>
      </c>
      <c r="I14" s="22" t="n"/>
      <c r="J14" s="44">
        <f>C14+F14+I14</f>
        <v/>
      </c>
      <c r="K14" s="40" t="inlineStr">
        <is>
          <t>Grill Guard Production moved to another production cell</t>
        </is>
      </c>
    </row>
    <row r="15">
      <c r="B15" s="37">
        <f>B14+1</f>
        <v/>
      </c>
      <c r="C15" s="18" t="n">
        <v>120</v>
      </c>
      <c r="D15" s="18" t="n"/>
      <c r="E15" s="18">
        <f>D15-C15+E14</f>
        <v/>
      </c>
      <c r="F15" s="18" t="n">
        <v>0</v>
      </c>
      <c r="G15" s="18" t="n"/>
      <c r="H15" s="18">
        <f>G15-F15+H14</f>
        <v/>
      </c>
      <c r="I15" s="22" t="n"/>
      <c r="J15" s="44">
        <f>C15+F15+I15</f>
        <v/>
      </c>
      <c r="K15" s="40" t="n"/>
    </row>
    <row r="16">
      <c r="B16" s="23">
        <f>B15+1</f>
        <v/>
      </c>
      <c r="C16" s="24" t="n">
        <v>0</v>
      </c>
      <c r="D16" s="24" t="n"/>
      <c r="E16" s="24">
        <f>D16-C16+E15</f>
        <v/>
      </c>
      <c r="F16" s="24" t="n"/>
      <c r="G16" s="24" t="n"/>
      <c r="H16" s="24">
        <f>G16-F16+H15</f>
        <v/>
      </c>
      <c r="I16" s="26" t="n"/>
      <c r="J16" s="46" t="n"/>
      <c r="K16" s="40" t="n"/>
    </row>
    <row r="17" ht="15.75" customHeight="1" thickBot="1">
      <c r="B17" s="27">
        <f>B16+1</f>
        <v/>
      </c>
      <c r="C17" s="28" t="n">
        <v>0</v>
      </c>
      <c r="D17" s="28" t="n"/>
      <c r="E17" s="28">
        <f>D17-C17+E16</f>
        <v/>
      </c>
      <c r="F17" s="28" t="n"/>
      <c r="G17" s="28" t="n"/>
      <c r="H17" s="28">
        <f>G17-F17+H16</f>
        <v/>
      </c>
      <c r="I17" s="30" t="n"/>
      <c r="J17" s="47" t="n"/>
      <c r="K17" s="40" t="n"/>
    </row>
    <row r="18">
      <c r="B18" s="13">
        <f>B17+1</f>
        <v/>
      </c>
      <c r="C18" s="32" t="n">
        <v>135</v>
      </c>
      <c r="D18" s="18" t="n"/>
      <c r="E18" s="18">
        <f>D18-C18+E17</f>
        <v/>
      </c>
      <c r="F18" s="32" t="n">
        <v>0</v>
      </c>
      <c r="G18" s="18" t="n"/>
      <c r="H18" s="18">
        <f>G18-F18+H17</f>
        <v/>
      </c>
      <c r="I18" s="34" t="n"/>
      <c r="J18" s="44">
        <f>C18+F18+I18</f>
        <v/>
      </c>
      <c r="K18" s="40" t="inlineStr">
        <is>
          <t>Capacity increase to 135 sets/8 hour shift</t>
        </is>
      </c>
    </row>
    <row r="19">
      <c r="B19" s="37">
        <f>B18+1</f>
        <v/>
      </c>
      <c r="C19" s="18" t="n">
        <v>135</v>
      </c>
      <c r="D19" s="18" t="n"/>
      <c r="E19" s="18">
        <f>D19-C19+E18</f>
        <v/>
      </c>
      <c r="F19" s="18" t="n">
        <v>0</v>
      </c>
      <c r="G19" s="18" t="n"/>
      <c r="H19" s="18">
        <f>G19-F19+H18</f>
        <v/>
      </c>
      <c r="I19" s="22" t="n"/>
      <c r="J19" s="44">
        <f>C19+F19+I19</f>
        <v/>
      </c>
      <c r="K19" s="40" t="n"/>
    </row>
    <row r="20">
      <c r="B20" s="37">
        <f>B19+1</f>
        <v/>
      </c>
      <c r="C20" s="18" t="n">
        <v>135</v>
      </c>
      <c r="D20" s="18" t="n"/>
      <c r="E20" s="18">
        <f>D20-C20+E19</f>
        <v/>
      </c>
      <c r="F20" s="18" t="n">
        <v>0</v>
      </c>
      <c r="G20" s="18" t="n"/>
      <c r="H20" s="18">
        <f>G20-F20+H19</f>
        <v/>
      </c>
      <c r="I20" s="36" t="n"/>
      <c r="J20" s="44">
        <f>C20+F20+I20</f>
        <v/>
      </c>
      <c r="K20" s="40" t="n"/>
    </row>
    <row r="21">
      <c r="B21" s="37">
        <f>B20+1</f>
        <v/>
      </c>
      <c r="C21" s="18" t="n">
        <v>135</v>
      </c>
      <c r="D21" s="18" t="n"/>
      <c r="E21" s="18">
        <f>D21-C21+E20</f>
        <v/>
      </c>
      <c r="F21" s="18" t="n">
        <v>0</v>
      </c>
      <c r="G21" s="18" t="n"/>
      <c r="H21" s="18">
        <f>G21-F21+H20</f>
        <v/>
      </c>
      <c r="I21" s="22" t="n"/>
      <c r="J21" s="44">
        <f>C21+F21+I21</f>
        <v/>
      </c>
      <c r="K21" s="40" t="n"/>
    </row>
    <row r="22">
      <c r="B22" s="37">
        <f>B21+1</f>
        <v/>
      </c>
      <c r="C22" s="18" t="n">
        <v>135</v>
      </c>
      <c r="D22" s="18" t="n"/>
      <c r="E22" s="18">
        <f>D22-C22+E21</f>
        <v/>
      </c>
      <c r="F22" s="18" t="n">
        <v>0</v>
      </c>
      <c r="G22" s="18" t="n"/>
      <c r="H22" s="18">
        <f>G22-F22+H21</f>
        <v/>
      </c>
      <c r="I22" s="36" t="n"/>
      <c r="J22" s="44">
        <f>C22+F22+I22</f>
        <v/>
      </c>
      <c r="K22" s="40" t="n"/>
    </row>
    <row r="23">
      <c r="B23" s="23">
        <f>B22+1</f>
        <v/>
      </c>
      <c r="C23" s="24" t="n">
        <v>0</v>
      </c>
      <c r="D23" s="24" t="n"/>
      <c r="E23" s="24">
        <f>D23-C23+E22</f>
        <v/>
      </c>
      <c r="F23" s="24" t="n"/>
      <c r="G23" s="24" t="n"/>
      <c r="H23" s="24">
        <f>G23-F23+H22</f>
        <v/>
      </c>
      <c r="I23" s="26" t="n"/>
      <c r="J23" s="46" t="n"/>
      <c r="K23" s="40" t="n"/>
    </row>
    <row r="24" ht="15.75" customHeight="1" thickBot="1">
      <c r="B24" s="27">
        <f>B23+1</f>
        <v/>
      </c>
      <c r="C24" s="28" t="n">
        <v>0</v>
      </c>
      <c r="D24" s="28" t="n"/>
      <c r="E24" s="28">
        <f>D24-C24+E23</f>
        <v/>
      </c>
      <c r="F24" s="28" t="n"/>
      <c r="G24" s="28" t="n"/>
      <c r="H24" s="28">
        <f>G24-F24+H23</f>
        <v/>
      </c>
      <c r="I24" s="30" t="n"/>
      <c r="J24" s="47" t="n"/>
      <c r="K24" s="40" t="n"/>
    </row>
    <row r="25">
      <c r="B25" s="13">
        <f>B24+1</f>
        <v/>
      </c>
      <c r="C25" s="32" t="n">
        <v>135</v>
      </c>
      <c r="D25" s="32" t="n"/>
      <c r="E25" s="32">
        <f>D25-C25+E24</f>
        <v/>
      </c>
      <c r="F25" s="32" t="n">
        <v>0</v>
      </c>
      <c r="G25" s="32" t="n"/>
      <c r="H25" s="32">
        <f>G25-F25+H24</f>
        <v/>
      </c>
      <c r="I25" s="34" t="n"/>
      <c r="J25" s="44">
        <f>C25+F25+I25</f>
        <v/>
      </c>
      <c r="K25" s="40" t="n"/>
    </row>
    <row r="26">
      <c r="B26" s="37">
        <f>B25+1</f>
        <v/>
      </c>
      <c r="C26" s="18" t="n">
        <v>135</v>
      </c>
      <c r="D26" s="18" t="n"/>
      <c r="E26" s="18">
        <f>D26-C26+E25</f>
        <v/>
      </c>
      <c r="F26" s="18" t="n">
        <v>0</v>
      </c>
      <c r="G26" s="18" t="n"/>
      <c r="H26" s="18">
        <f>G26-F26+H25</f>
        <v/>
      </c>
      <c r="I26" s="22" t="n"/>
      <c r="J26" s="44">
        <f>C26+F26+I26</f>
        <v/>
      </c>
      <c r="K26" s="40" t="n"/>
    </row>
    <row r="27">
      <c r="B27" s="37">
        <f>B26+1</f>
        <v/>
      </c>
      <c r="C27" s="18" t="n">
        <v>135</v>
      </c>
      <c r="D27" s="18" t="n"/>
      <c r="E27" s="18">
        <f>D27-C27+E26</f>
        <v/>
      </c>
      <c r="F27" s="18" t="n">
        <v>0</v>
      </c>
      <c r="G27" s="18" t="n"/>
      <c r="H27" s="18">
        <f>G27-F27+H26</f>
        <v/>
      </c>
      <c r="I27" s="36" t="n"/>
      <c r="J27" s="44">
        <f>C27+F27+I27</f>
        <v/>
      </c>
      <c r="K27" s="40" t="n"/>
    </row>
    <row r="28">
      <c r="B28" s="37">
        <f>B27+1</f>
        <v/>
      </c>
      <c r="C28" s="18" t="n">
        <v>135</v>
      </c>
      <c r="D28" s="18" t="n">
        <v>900</v>
      </c>
      <c r="E28" s="18">
        <f>D28-C28+E27</f>
        <v/>
      </c>
      <c r="F28" s="18" t="n">
        <v>0</v>
      </c>
      <c r="G28" s="18" t="n">
        <v>900</v>
      </c>
      <c r="H28" s="18">
        <f>G28-F28+H27</f>
        <v/>
      </c>
      <c r="I28" s="22" t="n"/>
      <c r="J28" s="44">
        <f>C28+F28+I28</f>
        <v/>
      </c>
      <c r="K28" s="40" t="n"/>
    </row>
    <row r="29">
      <c r="B29" s="37">
        <f>B28+1</f>
        <v/>
      </c>
      <c r="C29" s="18" t="n">
        <v>135</v>
      </c>
      <c r="D29" s="18" t="n"/>
      <c r="E29" s="18">
        <f>D29-C29+E28</f>
        <v/>
      </c>
      <c r="F29" s="18" t="n">
        <v>0</v>
      </c>
      <c r="G29" s="18" t="n"/>
      <c r="H29" s="18">
        <f>G29-F29+H28</f>
        <v/>
      </c>
      <c r="I29" s="36" t="n"/>
      <c r="J29" s="44">
        <f>C29+F29+I29</f>
        <v/>
      </c>
      <c r="K29" s="40" t="n"/>
    </row>
    <row r="30">
      <c r="B30" s="23">
        <f>B29+1</f>
        <v/>
      </c>
      <c r="C30" s="24" t="n">
        <v>0</v>
      </c>
      <c r="D30" s="24" t="n"/>
      <c r="E30" s="24">
        <f>D30-C30+E29</f>
        <v/>
      </c>
      <c r="F30" s="24" t="n"/>
      <c r="G30" s="24" t="n"/>
      <c r="H30" s="24">
        <f>G30-F30+H29</f>
        <v/>
      </c>
      <c r="I30" s="26" t="n"/>
      <c r="J30" s="46" t="n"/>
      <c r="K30" s="40" t="n"/>
    </row>
    <row r="31" ht="15.75" customHeight="1" thickBot="1">
      <c r="B31" s="27">
        <f>B30+1</f>
        <v/>
      </c>
      <c r="C31" s="28" t="n">
        <v>0</v>
      </c>
      <c r="D31" s="28" t="n"/>
      <c r="E31" s="28">
        <f>D31-C31+E30</f>
        <v/>
      </c>
      <c r="F31" s="28" t="n"/>
      <c r="G31" s="28" t="n"/>
      <c r="H31" s="28">
        <f>G31-F31+H30</f>
        <v/>
      </c>
      <c r="I31" s="30" t="n"/>
      <c r="J31" s="47" t="n"/>
      <c r="K31" s="40" t="n"/>
    </row>
    <row r="32">
      <c r="B32" s="23">
        <f>B31+1</f>
        <v/>
      </c>
      <c r="C32" s="24" t="n">
        <v>0</v>
      </c>
      <c r="D32" s="24" t="n"/>
      <c r="E32" s="24">
        <f>D32-C32+E31</f>
        <v/>
      </c>
      <c r="F32" s="24" t="n">
        <v>0</v>
      </c>
      <c r="G32" s="24" t="n"/>
      <c r="H32" s="24">
        <f>G32-F32+H31</f>
        <v/>
      </c>
      <c r="I32" s="26" t="n"/>
      <c r="J32" s="46">
        <f>C32+F32+I32</f>
        <v/>
      </c>
      <c r="K32" s="40" t="inlineStr">
        <is>
          <t>Louis Riel Stat Holiday</t>
        </is>
      </c>
    </row>
    <row r="33">
      <c r="B33" s="37">
        <f>B32+1</f>
        <v/>
      </c>
      <c r="C33" s="18" t="n">
        <v>135</v>
      </c>
      <c r="D33" s="18" t="n"/>
      <c r="E33" s="18">
        <f>D33-C33+E32</f>
        <v/>
      </c>
      <c r="F33" s="18" t="n">
        <v>0</v>
      </c>
      <c r="G33" s="18" t="n"/>
      <c r="H33" s="18">
        <f>G33-F33+H32</f>
        <v/>
      </c>
      <c r="I33" s="22" t="n"/>
      <c r="J33" s="44">
        <f>C33+F33+I33</f>
        <v/>
      </c>
      <c r="K33" s="40" t="n"/>
    </row>
    <row r="34">
      <c r="B34" s="37">
        <f>B33+1</f>
        <v/>
      </c>
      <c r="C34" s="18" t="n">
        <v>135</v>
      </c>
      <c r="D34" s="18" t="n"/>
      <c r="E34" s="18">
        <f>D34-C34+E33</f>
        <v/>
      </c>
      <c r="F34" s="18" t="n">
        <v>0</v>
      </c>
      <c r="G34" s="18" t="n"/>
      <c r="H34" s="18">
        <f>G34-F34+H33</f>
        <v/>
      </c>
      <c r="I34" s="22" t="n"/>
      <c r="J34" s="44">
        <f>C34+F34+I34</f>
        <v/>
      </c>
      <c r="K34" s="40" t="n"/>
    </row>
    <row r="35">
      <c r="B35" s="37">
        <f>B34+1</f>
        <v/>
      </c>
      <c r="C35" s="18" t="n">
        <v>135</v>
      </c>
      <c r="D35" s="18" t="n"/>
      <c r="E35" s="18">
        <f>D35-C35+E34</f>
        <v/>
      </c>
      <c r="F35" s="18" t="n">
        <v>0</v>
      </c>
      <c r="G35" s="18" t="n"/>
      <c r="H35" s="18">
        <f>G35-F35+H34</f>
        <v/>
      </c>
      <c r="I35" s="22" t="n"/>
      <c r="J35" s="44">
        <f>C35+F35+I35</f>
        <v/>
      </c>
    </row>
    <row r="36">
      <c r="B36" s="37">
        <f>B35+1</f>
        <v/>
      </c>
      <c r="C36" s="18" t="n">
        <v>0</v>
      </c>
      <c r="D36" s="18" t="n"/>
      <c r="E36" s="18">
        <f>D36-C36+E35</f>
        <v/>
      </c>
      <c r="F36" s="18" t="n">
        <v>135</v>
      </c>
      <c r="G36" s="18" t="n"/>
      <c r="H36" s="18">
        <f>G36-F36+H35</f>
        <v/>
      </c>
      <c r="I36" s="22" t="n"/>
      <c r="J36" s="44">
        <f>C36+F36+I36</f>
        <v/>
      </c>
    </row>
    <row r="37">
      <c r="B37" s="23">
        <f>B36+1</f>
        <v/>
      </c>
      <c r="C37" s="24" t="n">
        <v>0</v>
      </c>
      <c r="D37" s="24" t="n"/>
      <c r="E37" s="24">
        <f>D37-C37+E36</f>
        <v/>
      </c>
      <c r="F37" s="24" t="n">
        <v>0</v>
      </c>
      <c r="G37" s="24" t="n"/>
      <c r="H37" s="24">
        <f>G37-F37+H36</f>
        <v/>
      </c>
      <c r="I37" s="26" t="n"/>
      <c r="J37" s="46" t="n"/>
    </row>
    <row r="38" ht="15.75" customHeight="1" thickBot="1">
      <c r="B38" s="27">
        <f>B37+1</f>
        <v/>
      </c>
      <c r="C38" s="28" t="n">
        <v>0</v>
      </c>
      <c r="D38" s="28" t="n"/>
      <c r="E38" s="28">
        <f>D38-C38+E37</f>
        <v/>
      </c>
      <c r="F38" s="28" t="n"/>
      <c r="G38" s="28" t="n"/>
      <c r="H38" s="28">
        <f>G38-F38+H37</f>
        <v/>
      </c>
      <c r="I38" s="30" t="n"/>
      <c r="J38" s="47" t="n"/>
    </row>
    <row r="39">
      <c r="B39" s="13">
        <f>B38+1</f>
        <v/>
      </c>
      <c r="C39" s="18" t="n">
        <v>0</v>
      </c>
      <c r="D39" s="18" t="n"/>
      <c r="E39" s="18">
        <f>D39-C39+E38</f>
        <v/>
      </c>
      <c r="F39" s="18" t="n">
        <v>135</v>
      </c>
      <c r="G39" s="18" t="n"/>
      <c r="H39" s="18">
        <f>G39-F39+H38</f>
        <v/>
      </c>
      <c r="I39" s="36" t="n"/>
      <c r="J39" s="44">
        <f>C39+F39+I39</f>
        <v/>
      </c>
    </row>
    <row r="40">
      <c r="B40" s="37">
        <f>B39+1</f>
        <v/>
      </c>
      <c r="C40" s="18" t="n">
        <v>0</v>
      </c>
      <c r="D40" s="18" t="n"/>
      <c r="E40" s="18">
        <f>D40-C40+E39</f>
        <v/>
      </c>
      <c r="F40" s="18" t="n">
        <v>135</v>
      </c>
      <c r="G40" s="18" t="n"/>
      <c r="H40" s="18">
        <f>G40-F40+H39</f>
        <v/>
      </c>
      <c r="I40" s="22" t="n"/>
      <c r="J40" s="44">
        <f>C40+F40+I40</f>
        <v/>
      </c>
    </row>
    <row r="41">
      <c r="B41" s="37">
        <f>B40+1</f>
        <v/>
      </c>
      <c r="C41" s="18" t="n">
        <v>0</v>
      </c>
      <c r="D41" s="18" t="n"/>
      <c r="E41" s="18">
        <f>D41-C41+E40</f>
        <v/>
      </c>
      <c r="F41" s="18" t="n">
        <v>135</v>
      </c>
      <c r="G41" s="18" t="n"/>
      <c r="H41" s="18">
        <f>G41-F41+H40</f>
        <v/>
      </c>
      <c r="I41" s="22" t="n"/>
      <c r="J41" s="44">
        <f>C41+F41+I41</f>
        <v/>
      </c>
    </row>
    <row r="42">
      <c r="B42" s="37">
        <f>B41+1</f>
        <v/>
      </c>
      <c r="C42" s="18" t="n">
        <v>0</v>
      </c>
      <c r="D42" s="18" t="n">
        <v>900</v>
      </c>
      <c r="E42" s="18">
        <f>D42-C42+E41</f>
        <v/>
      </c>
      <c r="F42" s="18" t="n">
        <v>135</v>
      </c>
      <c r="G42" s="18" t="n">
        <v>575</v>
      </c>
      <c r="H42" s="18">
        <f>G42-F42+H41</f>
        <v/>
      </c>
      <c r="I42" s="22" t="n"/>
      <c r="J42" s="44">
        <f>C42+F42+I42</f>
        <v/>
      </c>
    </row>
    <row r="43">
      <c r="B43" s="37">
        <f>B42+1</f>
        <v/>
      </c>
      <c r="C43" s="18" t="n">
        <v>0</v>
      </c>
      <c r="D43" s="18" t="n"/>
      <c r="E43" s="18">
        <f>D43-C43+E42</f>
        <v/>
      </c>
      <c r="F43" s="18" t="n">
        <v>135</v>
      </c>
      <c r="G43" s="18" t="n"/>
      <c r="H43" s="18">
        <f>G43-F43+H42</f>
        <v/>
      </c>
      <c r="I43" s="36" t="n"/>
      <c r="J43" s="44">
        <f>C43+F43+I43</f>
        <v/>
      </c>
    </row>
    <row r="44">
      <c r="B44" s="23">
        <f>B43+1</f>
        <v/>
      </c>
      <c r="C44" s="24" t="n">
        <v>0</v>
      </c>
      <c r="D44" s="24" t="n"/>
      <c r="E44" s="24">
        <f>D44-C44+E43</f>
        <v/>
      </c>
      <c r="F44" s="24" t="n">
        <v>0</v>
      </c>
      <c r="G44" s="24" t="n"/>
      <c r="H44" s="24">
        <f>G44-F44+H43</f>
        <v/>
      </c>
      <c r="I44" s="26" t="n"/>
      <c r="J44" s="46" t="n"/>
    </row>
    <row r="45" ht="15.75" customHeight="1" thickBot="1">
      <c r="B45" s="27">
        <f>B44+1</f>
        <v/>
      </c>
      <c r="C45" s="28" t="n">
        <v>0</v>
      </c>
      <c r="D45" s="28" t="n"/>
      <c r="E45" s="28">
        <f>D45-C45+E44</f>
        <v/>
      </c>
      <c r="F45" s="28" t="n"/>
      <c r="G45" s="28" t="n"/>
      <c r="H45" s="28">
        <f>G45-F45+H44</f>
        <v/>
      </c>
      <c r="I45" s="30" t="n"/>
      <c r="J45" s="47" t="n"/>
    </row>
    <row r="46">
      <c r="B46" s="13">
        <f>B45+1</f>
        <v/>
      </c>
      <c r="C46" s="32" t="n">
        <v>0</v>
      </c>
      <c r="D46" s="32" t="n"/>
      <c r="E46" s="32">
        <f>D46-C46+E45</f>
        <v/>
      </c>
      <c r="F46" s="32" t="n">
        <v>135</v>
      </c>
      <c r="G46" s="32" t="n"/>
      <c r="H46" s="32">
        <f>G46-F46+H45</f>
        <v/>
      </c>
      <c r="I46" s="34" t="n"/>
      <c r="J46" s="48">
        <f>C46+F46+I46</f>
        <v/>
      </c>
    </row>
    <row r="47">
      <c r="B47" s="37">
        <f>B46+1</f>
        <v/>
      </c>
      <c r="C47" s="18" t="n">
        <v>0</v>
      </c>
      <c r="D47" s="18" t="n"/>
      <c r="E47" s="18">
        <f>D47-C47+E46</f>
        <v/>
      </c>
      <c r="F47" s="18" t="n">
        <v>135</v>
      </c>
      <c r="G47" s="18" t="n"/>
      <c r="H47" s="18">
        <f>G47-F47+H46</f>
        <v/>
      </c>
      <c r="I47" s="22" t="n"/>
      <c r="J47" s="44">
        <f>C47+F47+I47</f>
        <v/>
      </c>
    </row>
    <row r="48">
      <c r="B48" s="37">
        <f>B47+1</f>
        <v/>
      </c>
      <c r="C48" s="18" t="n">
        <v>0</v>
      </c>
      <c r="D48" s="18" t="n"/>
      <c r="E48" s="18">
        <f>D48-C48+E47</f>
        <v/>
      </c>
      <c r="F48" s="18" t="n">
        <v>135</v>
      </c>
      <c r="G48" s="18" t="n"/>
      <c r="H48" s="18">
        <f>G48-F48+H47</f>
        <v/>
      </c>
      <c r="I48" s="36" t="n"/>
      <c r="J48" s="44">
        <f>C48+F48+I48</f>
        <v/>
      </c>
    </row>
    <row r="49">
      <c r="B49" s="37">
        <f>B48+1</f>
        <v/>
      </c>
      <c r="C49" s="18" t="n">
        <v>0</v>
      </c>
      <c r="D49" s="18" t="n"/>
      <c r="E49" s="18">
        <f>D49-C49+E48</f>
        <v/>
      </c>
      <c r="F49" s="18" t="n">
        <v>135</v>
      </c>
      <c r="G49" s="18" t="n"/>
      <c r="H49" s="18">
        <f>G49-F49+H48</f>
        <v/>
      </c>
      <c r="I49" s="22" t="n"/>
      <c r="J49" s="44">
        <f>C49+F49+I49</f>
        <v/>
      </c>
    </row>
    <row r="50">
      <c r="B50" s="37">
        <f>B49+1</f>
        <v/>
      </c>
      <c r="C50" s="18" t="n">
        <v>0</v>
      </c>
      <c r="D50" s="18" t="n"/>
      <c r="E50" s="18">
        <f>D50-C50+E49</f>
        <v/>
      </c>
      <c r="F50" s="18" t="n">
        <v>135</v>
      </c>
      <c r="G50" s="18" t="n"/>
      <c r="H50" s="18">
        <f>G50-F50+H49</f>
        <v/>
      </c>
      <c r="I50" s="22" t="n"/>
      <c r="J50" s="44">
        <f>C50+F50+I50</f>
        <v/>
      </c>
    </row>
    <row r="51">
      <c r="B51" s="23">
        <f>B50+1</f>
        <v/>
      </c>
      <c r="C51" s="24" t="n">
        <v>0</v>
      </c>
      <c r="D51" s="24" t="n"/>
      <c r="E51" s="24">
        <f>D51-C51+E50</f>
        <v/>
      </c>
      <c r="F51" s="24" t="n">
        <v>0</v>
      </c>
      <c r="G51" s="24" t="n"/>
      <c r="H51" s="24">
        <f>G51-F51+H50</f>
        <v/>
      </c>
      <c r="I51" s="26" t="n"/>
      <c r="J51" s="46" t="n"/>
    </row>
    <row r="52" ht="15.75" customHeight="1" thickBot="1">
      <c r="B52" s="27">
        <f>B51+1</f>
        <v/>
      </c>
      <c r="C52" s="28" t="n">
        <v>0</v>
      </c>
      <c r="D52" s="28" t="n"/>
      <c r="E52" s="28">
        <f>D52-C52+E51</f>
        <v/>
      </c>
      <c r="F52" s="28" t="n"/>
      <c r="G52" s="28" t="n"/>
      <c r="H52" s="28">
        <f>G52-F52+H51</f>
        <v/>
      </c>
      <c r="I52" s="30" t="n"/>
      <c r="J52" s="47" t="n"/>
    </row>
    <row r="53">
      <c r="B53" s="13">
        <f>B52+1</f>
        <v/>
      </c>
      <c r="C53" s="32" t="n">
        <v>0</v>
      </c>
      <c r="D53" s="32" t="n"/>
      <c r="E53" s="32">
        <f>D53-C53+E52</f>
        <v/>
      </c>
      <c r="F53" s="32" t="n">
        <v>135</v>
      </c>
      <c r="G53" s="32" t="n"/>
      <c r="H53" s="32">
        <f>G53-F53+H52</f>
        <v/>
      </c>
      <c r="I53" s="34" t="n"/>
      <c r="J53" s="48">
        <f>C53+F53+I53</f>
        <v/>
      </c>
    </row>
    <row r="54">
      <c r="B54" s="37">
        <f>B53+1</f>
        <v/>
      </c>
      <c r="C54" s="18" t="n">
        <v>0</v>
      </c>
      <c r="D54" s="18" t="n"/>
      <c r="E54" s="18">
        <f>D54-C54+E53</f>
        <v/>
      </c>
      <c r="F54" s="18" t="n">
        <v>135</v>
      </c>
      <c r="G54" s="18" t="n"/>
      <c r="H54" s="18">
        <f>G54-F54+H53</f>
        <v/>
      </c>
      <c r="I54" s="22" t="n"/>
      <c r="J54" s="44">
        <f>C54+F54+I54</f>
        <v/>
      </c>
    </row>
    <row r="55">
      <c r="B55" s="37">
        <f>B54+1</f>
        <v/>
      </c>
      <c r="C55" s="18" t="n">
        <v>0</v>
      </c>
      <c r="D55" s="18" t="n"/>
      <c r="E55" s="18">
        <f>D55-C55+E54</f>
        <v/>
      </c>
      <c r="F55" s="18" t="n">
        <v>135</v>
      </c>
      <c r="G55" s="18" t="n"/>
      <c r="H55" s="18">
        <f>G55-F55+H54</f>
        <v/>
      </c>
      <c r="I55" s="22" t="n"/>
      <c r="J55" s="44">
        <f>C55+F55+I55</f>
        <v/>
      </c>
    </row>
    <row r="56">
      <c r="B56" s="37">
        <f>B55+1</f>
        <v/>
      </c>
      <c r="C56" s="18" t="n">
        <v>0</v>
      </c>
      <c r="D56" s="18" t="n"/>
      <c r="E56" s="18">
        <f>D56-C56+E55</f>
        <v/>
      </c>
      <c r="F56" s="18" t="n">
        <v>135</v>
      </c>
      <c r="G56" s="18" t="n"/>
      <c r="H56" s="18">
        <f>G56-F56+H55</f>
        <v/>
      </c>
      <c r="I56" s="22" t="n"/>
      <c r="J56" s="44">
        <f>C56+F56+I56</f>
        <v/>
      </c>
    </row>
    <row r="57">
      <c r="B57" s="37">
        <f>B56+1</f>
        <v/>
      </c>
      <c r="C57" s="18" t="n">
        <v>0</v>
      </c>
      <c r="D57" s="18" t="n"/>
      <c r="E57" s="18">
        <f>D57-C57+E56</f>
        <v/>
      </c>
      <c r="F57" s="18" t="n">
        <v>135</v>
      </c>
      <c r="G57" s="18" t="n"/>
      <c r="H57" s="18">
        <f>G57-F57+H56</f>
        <v/>
      </c>
      <c r="I57" s="22" t="n"/>
      <c r="J57" s="44">
        <f>C57+F57+I57</f>
        <v/>
      </c>
    </row>
    <row r="58">
      <c r="B58" s="23">
        <f>B57+1</f>
        <v/>
      </c>
      <c r="C58" s="24" t="n">
        <v>0</v>
      </c>
      <c r="D58" s="24" t="n"/>
      <c r="E58" s="24">
        <f>D58-C58+E57</f>
        <v/>
      </c>
      <c r="F58" s="24" t="n">
        <v>0</v>
      </c>
      <c r="G58" s="24" t="n"/>
      <c r="H58" s="24">
        <f>G58-F58+H57</f>
        <v/>
      </c>
      <c r="I58" s="26" t="n"/>
      <c r="J58" s="46" t="n"/>
    </row>
    <row r="59" ht="15.75" customHeight="1" thickBot="1">
      <c r="B59" s="27">
        <f>B58+1</f>
        <v/>
      </c>
      <c r="C59" s="28" t="n">
        <v>0</v>
      </c>
      <c r="D59" s="28" t="n"/>
      <c r="E59" s="28">
        <f>D59-C59+E58</f>
        <v/>
      </c>
      <c r="F59" s="28" t="n"/>
      <c r="G59" s="28" t="n"/>
      <c r="H59" s="28">
        <f>G59-F59+H58</f>
        <v/>
      </c>
      <c r="I59" s="30" t="n"/>
      <c r="J59" s="47" t="n"/>
    </row>
    <row r="60">
      <c r="B60" s="13">
        <f>B59+1</f>
        <v/>
      </c>
      <c r="C60" s="32" t="n">
        <v>0</v>
      </c>
      <c r="D60" s="32" t="n"/>
      <c r="E60" s="32">
        <f>D60-C60+E59</f>
        <v/>
      </c>
      <c r="F60" s="32" t="n">
        <v>135</v>
      </c>
      <c r="G60" s="32" t="n"/>
      <c r="H60" s="32">
        <f>G60-F60+H59</f>
        <v/>
      </c>
      <c r="I60" s="34" t="n"/>
      <c r="J60" s="48">
        <f>C60+F60+I60</f>
        <v/>
      </c>
    </row>
    <row r="61">
      <c r="B61" s="37">
        <f>B60+1</f>
        <v/>
      </c>
      <c r="C61" s="18" t="n">
        <v>0</v>
      </c>
      <c r="D61" s="18" t="n"/>
      <c r="E61" s="18">
        <f>D61-C61+E60</f>
        <v/>
      </c>
      <c r="F61" s="18" t="n">
        <v>135</v>
      </c>
      <c r="G61" s="18" t="n"/>
      <c r="H61" s="18">
        <f>G61-F61+H60</f>
        <v/>
      </c>
      <c r="I61" s="36" t="n"/>
      <c r="J61" s="44">
        <f>C61+F61+I61</f>
        <v/>
      </c>
    </row>
    <row r="62">
      <c r="B62" s="37">
        <f>B61+1</f>
        <v/>
      </c>
      <c r="C62" s="18" t="n">
        <v>135</v>
      </c>
      <c r="D62" s="18" t="n"/>
      <c r="E62" s="18">
        <f>D62-C62+E61</f>
        <v/>
      </c>
      <c r="F62" s="18" t="n">
        <v>0</v>
      </c>
      <c r="G62" s="18" t="n"/>
      <c r="H62" s="18">
        <f>G62-F62+H61</f>
        <v/>
      </c>
      <c r="I62" s="22" t="n"/>
      <c r="J62" s="44">
        <f>C62+F62+I62</f>
        <v/>
      </c>
    </row>
    <row r="63">
      <c r="B63" s="37">
        <f>B62+1</f>
        <v/>
      </c>
      <c r="C63" s="18" t="n">
        <v>135</v>
      </c>
      <c r="D63" s="18" t="n"/>
      <c r="E63" s="18">
        <f>D63-C63+E62</f>
        <v/>
      </c>
      <c r="F63" s="18" t="n">
        <v>0</v>
      </c>
      <c r="G63" s="18" t="n"/>
      <c r="H63" s="18">
        <f>G63-F63+H62</f>
        <v/>
      </c>
      <c r="I63" s="22" t="n"/>
      <c r="J63" s="44">
        <f>C63+F63+I63</f>
        <v/>
      </c>
    </row>
    <row r="64">
      <c r="B64" s="37">
        <f>B63+1</f>
        <v/>
      </c>
      <c r="C64" s="18" t="n">
        <v>135</v>
      </c>
      <c r="D64" s="18" t="n"/>
      <c r="E64" s="18">
        <f>D64-C64+E63</f>
        <v/>
      </c>
      <c r="F64" s="18" t="n">
        <v>0</v>
      </c>
      <c r="G64" s="18" t="n"/>
      <c r="H64" s="18">
        <f>G64-F64+H63</f>
        <v/>
      </c>
      <c r="I64" s="22" t="n"/>
      <c r="J64" s="44">
        <f>C64+F64+I64</f>
        <v/>
      </c>
    </row>
    <row r="65">
      <c r="B65" s="23">
        <f>B64+1</f>
        <v/>
      </c>
      <c r="C65" s="24" t="n">
        <v>0</v>
      </c>
      <c r="D65" s="24" t="n"/>
      <c r="E65" s="24">
        <f>D65-C65+E64</f>
        <v/>
      </c>
      <c r="F65" s="24" t="n">
        <v>0</v>
      </c>
      <c r="G65" s="24" t="n"/>
      <c r="H65" s="24">
        <f>G65-F65+H64</f>
        <v/>
      </c>
      <c r="I65" s="26" t="n"/>
      <c r="J65" s="46" t="n"/>
    </row>
    <row r="66" ht="15.75" customHeight="1" thickBot="1">
      <c r="B66" s="27">
        <f>B65+1</f>
        <v/>
      </c>
      <c r="C66" s="28" t="n">
        <v>0</v>
      </c>
      <c r="D66" s="28" t="n"/>
      <c r="E66" s="28">
        <f>D66-C66+E65</f>
        <v/>
      </c>
      <c r="F66" s="28" t="n"/>
      <c r="G66" s="28" t="n"/>
      <c r="H66" s="28">
        <f>G66-F66+H65</f>
        <v/>
      </c>
      <c r="I66" s="30" t="n"/>
      <c r="J66" s="47" t="n"/>
    </row>
    <row r="67">
      <c r="B67" s="13">
        <f>B66+1</f>
        <v/>
      </c>
      <c r="C67" s="32" t="n">
        <v>135</v>
      </c>
      <c r="D67" s="32" t="n"/>
      <c r="E67" s="32">
        <f>D67-C67+E66</f>
        <v/>
      </c>
      <c r="F67" s="32" t="n">
        <v>0</v>
      </c>
      <c r="G67" s="32" t="n"/>
      <c r="H67" s="32">
        <f>G67-F67+H66</f>
        <v/>
      </c>
      <c r="I67" s="34" t="n"/>
      <c r="J67" s="48">
        <f>C67+F67+I67</f>
        <v/>
      </c>
    </row>
    <row r="68">
      <c r="B68" s="37">
        <f>B67+1</f>
        <v/>
      </c>
      <c r="C68" s="18" t="n">
        <v>135</v>
      </c>
      <c r="D68" s="18" t="n"/>
      <c r="E68" s="18">
        <f>D68-C68+E67</f>
        <v/>
      </c>
      <c r="F68" s="18" t="n">
        <v>0</v>
      </c>
      <c r="G68" s="18" t="n"/>
      <c r="H68" s="18">
        <f>G68-F68+H67</f>
        <v/>
      </c>
      <c r="I68" s="22" t="n"/>
      <c r="J68" s="44">
        <f>C68+F68+I68</f>
        <v/>
      </c>
    </row>
    <row r="69">
      <c r="B69" s="37">
        <f>B68+1</f>
        <v/>
      </c>
      <c r="C69" s="18" t="n">
        <v>135</v>
      </c>
      <c r="D69" s="18" t="n"/>
      <c r="E69" s="18">
        <f>D69-C69+E68</f>
        <v/>
      </c>
      <c r="F69" s="18" t="n">
        <v>0</v>
      </c>
      <c r="G69" s="18" t="n"/>
      <c r="H69" s="18">
        <f>G69-F69+H68</f>
        <v/>
      </c>
      <c r="I69" s="22" t="n"/>
      <c r="J69" s="44">
        <f>C69+F69+I69</f>
        <v/>
      </c>
    </row>
    <row r="70">
      <c r="B70" s="37">
        <f>B69+1</f>
        <v/>
      </c>
      <c r="C70" s="18" t="n">
        <v>135</v>
      </c>
      <c r="D70" s="18" t="n"/>
      <c r="E70" s="18">
        <f>D70-C70+E69</f>
        <v/>
      </c>
      <c r="F70" s="18" t="n">
        <v>0</v>
      </c>
      <c r="G70" s="18" t="n"/>
      <c r="H70" s="18">
        <f>G70-F70+H69</f>
        <v/>
      </c>
      <c r="I70" s="36" t="n"/>
      <c r="J70" s="44">
        <f>C70+F70+I70</f>
        <v/>
      </c>
    </row>
    <row r="71">
      <c r="B71" s="23">
        <f>B70+1</f>
        <v/>
      </c>
      <c r="C71" s="24" t="n">
        <v>0</v>
      </c>
      <c r="D71" s="24" t="n"/>
      <c r="E71" s="24">
        <f>D71-C71+E70</f>
        <v/>
      </c>
      <c r="F71" s="24" t="n">
        <v>0</v>
      </c>
      <c r="G71" s="24" t="n"/>
      <c r="H71" s="24">
        <f>G71-F71+H70</f>
        <v/>
      </c>
      <c r="I71" s="26" t="n"/>
      <c r="J71" s="49">
        <f>C71+F71+I71</f>
        <v/>
      </c>
      <c r="K71" s="40" t="inlineStr">
        <is>
          <t>Good Friday Stat Holiday</t>
        </is>
      </c>
    </row>
    <row r="72">
      <c r="B72" s="23">
        <f>B71+1</f>
        <v/>
      </c>
      <c r="C72" s="24" t="n">
        <v>0</v>
      </c>
      <c r="D72" s="24" t="n"/>
      <c r="E72" s="24">
        <f>D72-C72+E71</f>
        <v/>
      </c>
      <c r="F72" s="24" t="n">
        <v>0</v>
      </c>
      <c r="G72" s="24" t="n"/>
      <c r="H72" s="24">
        <f>G72-F72+H71</f>
        <v/>
      </c>
      <c r="I72" s="26" t="n"/>
      <c r="J72" s="46" t="n"/>
      <c r="K72" s="40" t="n"/>
    </row>
    <row r="73" ht="15.75" customHeight="1" thickBot="1">
      <c r="B73" s="27">
        <f>B72+1</f>
        <v/>
      </c>
      <c r="C73" s="28" t="n">
        <v>0</v>
      </c>
      <c r="D73" s="28" t="n"/>
      <c r="E73" s="28">
        <f>D73-C73+E72</f>
        <v/>
      </c>
      <c r="F73" s="28" t="n"/>
      <c r="G73" s="28" t="n"/>
      <c r="H73" s="28">
        <f>G73-F73+H72</f>
        <v/>
      </c>
      <c r="I73" s="30" t="n"/>
      <c r="J73" s="47" t="n"/>
    </row>
    <row r="74">
      <c r="B74" s="13">
        <f>B73+1</f>
        <v/>
      </c>
      <c r="C74" s="32" t="n">
        <v>135</v>
      </c>
      <c r="D74" s="32" t="n">
        <v>900</v>
      </c>
      <c r="E74" s="32">
        <f>D74-C74+E73</f>
        <v/>
      </c>
      <c r="F74" s="32" t="n">
        <v>0</v>
      </c>
      <c r="G74" s="32" t="n">
        <v>575</v>
      </c>
      <c r="H74" s="32">
        <f>G74-F74+H73</f>
        <v/>
      </c>
      <c r="I74" s="34" t="n"/>
      <c r="J74" s="48">
        <f>C74+F74+I74</f>
        <v/>
      </c>
    </row>
    <row r="75">
      <c r="B75" s="37">
        <f>B74+1</f>
        <v/>
      </c>
      <c r="C75" s="18" t="n">
        <v>135</v>
      </c>
      <c r="D75" s="18" t="n"/>
      <c r="E75" s="18">
        <f>D75-C75+E74</f>
        <v/>
      </c>
      <c r="F75" s="18" t="n">
        <v>0</v>
      </c>
      <c r="G75" s="18" t="n"/>
      <c r="H75" s="18">
        <f>G75-F75+H74</f>
        <v/>
      </c>
      <c r="I75" s="22" t="n"/>
      <c r="J75" s="44">
        <f>C75+F75+I75</f>
        <v/>
      </c>
    </row>
    <row r="76">
      <c r="B76" s="37">
        <f>B75+1</f>
        <v/>
      </c>
      <c r="C76" s="18" t="n">
        <v>135</v>
      </c>
      <c r="D76" s="18" t="n"/>
      <c r="E76" s="18">
        <f>D76-C76+E75</f>
        <v/>
      </c>
      <c r="F76" s="18" t="n">
        <v>0</v>
      </c>
      <c r="G76" s="18" t="n"/>
      <c r="H76" s="18">
        <f>G76-F76+H75</f>
        <v/>
      </c>
      <c r="I76" s="22" t="n"/>
      <c r="J76" s="44">
        <f>C76+F76+I76</f>
        <v/>
      </c>
    </row>
    <row r="77">
      <c r="B77" s="37">
        <f>B76+1</f>
        <v/>
      </c>
      <c r="C77" s="18" t="n">
        <v>135</v>
      </c>
      <c r="D77" s="18" t="n"/>
      <c r="E77" s="18">
        <f>D77-C77+E76</f>
        <v/>
      </c>
      <c r="F77" s="18" t="n">
        <v>0</v>
      </c>
      <c r="G77" s="18" t="n"/>
      <c r="H77" s="18">
        <f>G77-F77+H76</f>
        <v/>
      </c>
      <c r="I77" s="36" t="n"/>
      <c r="J77" s="44">
        <f>C77+F77+I77</f>
        <v/>
      </c>
    </row>
    <row r="78">
      <c r="B78" s="37">
        <f>B77+1</f>
        <v/>
      </c>
      <c r="C78" s="18" t="n">
        <v>135</v>
      </c>
      <c r="D78" s="18" t="n"/>
      <c r="E78" s="18">
        <f>D78-C78+E77</f>
        <v/>
      </c>
      <c r="F78" s="18" t="n">
        <v>0</v>
      </c>
      <c r="G78" s="18" t="n"/>
      <c r="H78" s="18">
        <f>G78-F78+H77</f>
        <v/>
      </c>
      <c r="I78" s="22" t="n"/>
      <c r="J78" s="44">
        <f>C78+F78+I78</f>
        <v/>
      </c>
    </row>
    <row r="79">
      <c r="B79" s="23">
        <f>B78+1</f>
        <v/>
      </c>
      <c r="C79" s="24" t="n">
        <v>0</v>
      </c>
      <c r="D79" s="24" t="n"/>
      <c r="E79" s="24">
        <f>D79-C79+E78</f>
        <v/>
      </c>
      <c r="F79" s="24" t="n">
        <v>0</v>
      </c>
      <c r="G79" s="24" t="n"/>
      <c r="H79" s="24">
        <f>G79-F79+H78</f>
        <v/>
      </c>
      <c r="I79" s="26" t="n"/>
      <c r="J79" s="46" t="n"/>
    </row>
    <row r="80" ht="15.75" customHeight="1" thickBot="1">
      <c r="B80" s="27">
        <f>B79+1</f>
        <v/>
      </c>
      <c r="C80" s="28" t="n">
        <v>0</v>
      </c>
      <c r="D80" s="28" t="n"/>
      <c r="E80" s="28">
        <f>D80-C80+E79</f>
        <v/>
      </c>
      <c r="F80" s="28" t="n"/>
      <c r="G80" s="28" t="n"/>
      <c r="H80" s="28">
        <f>G80-F80+H79</f>
        <v/>
      </c>
      <c r="I80" s="30" t="n"/>
      <c r="J80" s="47" t="n"/>
    </row>
    <row r="81">
      <c r="B81" s="13">
        <f>B80+1</f>
        <v/>
      </c>
      <c r="C81" s="32" t="n">
        <v>135</v>
      </c>
      <c r="D81" s="32" t="n"/>
      <c r="E81" s="32">
        <f>D81-C81+E80</f>
        <v/>
      </c>
      <c r="F81" s="32" t="n">
        <v>0</v>
      </c>
      <c r="G81" s="32" t="n"/>
      <c r="H81" s="32">
        <f>G81-F81+H80</f>
        <v/>
      </c>
      <c r="I81" s="34" t="n"/>
      <c r="J81" s="48">
        <f>C81+F81+I81</f>
        <v/>
      </c>
    </row>
    <row r="82">
      <c r="B82" s="37">
        <f>B81+1</f>
        <v/>
      </c>
      <c r="C82" s="18" t="n">
        <v>30</v>
      </c>
      <c r="D82" s="18" t="n"/>
      <c r="E82" s="18">
        <f>D82-C82+E81</f>
        <v/>
      </c>
      <c r="F82" s="18" t="n">
        <v>105</v>
      </c>
      <c r="G82" s="18" t="n"/>
      <c r="H82" s="18">
        <f>G82-F82+H81</f>
        <v/>
      </c>
      <c r="I82" s="22" t="n"/>
      <c r="J82" s="44">
        <f>C82+F82+I82</f>
        <v/>
      </c>
    </row>
    <row r="83">
      <c r="B83" s="37">
        <f>B82+1</f>
        <v/>
      </c>
      <c r="C83" s="18" t="n">
        <v>0</v>
      </c>
      <c r="D83" s="18" t="n"/>
      <c r="E83" s="18">
        <f>D83-C83+E82</f>
        <v/>
      </c>
      <c r="F83" s="18" t="n">
        <v>135</v>
      </c>
      <c r="G83" s="18" t="n"/>
      <c r="H83" s="18">
        <f>G83-F83+H82</f>
        <v/>
      </c>
      <c r="I83" s="22" t="n"/>
      <c r="J83" s="44">
        <f>C83+F83+I83</f>
        <v/>
      </c>
    </row>
    <row r="84">
      <c r="B84" s="37">
        <f>B83+1</f>
        <v/>
      </c>
      <c r="C84" s="18" t="n">
        <v>0</v>
      </c>
      <c r="D84" s="18" t="n"/>
      <c r="E84" s="18">
        <f>D84-C84+E83</f>
        <v/>
      </c>
      <c r="F84" s="18" t="n">
        <v>135</v>
      </c>
      <c r="G84" s="18" t="n"/>
      <c r="H84" s="18">
        <f>G84-F84+H83</f>
        <v/>
      </c>
      <c r="I84" s="36" t="n"/>
      <c r="J84" s="44">
        <f>C84+F84+I84</f>
        <v/>
      </c>
      <c r="K84" s="40" t="inlineStr">
        <is>
          <t>Cut off day for Production to Catch up to April Production</t>
        </is>
      </c>
    </row>
    <row r="85">
      <c r="B85" s="37">
        <f>B84+1</f>
        <v/>
      </c>
      <c r="C85" s="18" t="n">
        <v>0</v>
      </c>
      <c r="D85" s="18" t="n"/>
      <c r="E85" s="18">
        <f>D85-C85+E84</f>
        <v/>
      </c>
      <c r="F85" s="18" t="n">
        <v>135</v>
      </c>
      <c r="G85" s="18" t="n"/>
      <c r="H85" s="18">
        <f>G85-F85+H84</f>
        <v/>
      </c>
      <c r="I85" s="22" t="n"/>
      <c r="J85" s="44">
        <f>C85+F85+I85</f>
        <v/>
      </c>
    </row>
    <row r="86">
      <c r="B86" s="23">
        <f>B85+1</f>
        <v/>
      </c>
      <c r="C86" s="24" t="n">
        <v>0</v>
      </c>
      <c r="D86" s="24" t="n"/>
      <c r="E86" s="24">
        <f>D86-C86+E85</f>
        <v/>
      </c>
      <c r="F86" s="24" t="n">
        <v>0</v>
      </c>
      <c r="G86" s="24" t="n"/>
      <c r="H86" s="24">
        <f>G86-F86+H85</f>
        <v/>
      </c>
      <c r="I86" s="26" t="n"/>
      <c r="J86" s="46" t="n"/>
    </row>
    <row r="87" ht="15.75" customHeight="1" thickBot="1">
      <c r="B87" s="27">
        <f>B86+1</f>
        <v/>
      </c>
      <c r="C87" s="28" t="n">
        <v>0</v>
      </c>
      <c r="D87" s="28" t="n"/>
      <c r="E87" s="28">
        <f>D87-C87+E86</f>
        <v/>
      </c>
      <c r="F87" s="28" t="n"/>
      <c r="G87" s="28" t="n"/>
      <c r="H87" s="28">
        <f>G87-F87+H86</f>
        <v/>
      </c>
      <c r="I87" s="30" t="n"/>
      <c r="J87" s="47" t="n"/>
    </row>
    <row r="88">
      <c r="B88" s="13">
        <f>B87+1</f>
        <v/>
      </c>
      <c r="C88" s="32" t="n">
        <v>0</v>
      </c>
      <c r="D88" s="32" t="n"/>
      <c r="E88" s="32">
        <f>D88-C88+E87</f>
        <v/>
      </c>
      <c r="F88" s="32" t="n">
        <v>135</v>
      </c>
      <c r="G88" s="32" t="n"/>
      <c r="H88" s="32">
        <f>G88-F88+H87</f>
        <v/>
      </c>
      <c r="I88" s="34" t="n"/>
      <c r="J88" s="48">
        <f>C88+F88+I88</f>
        <v/>
      </c>
    </row>
    <row r="89">
      <c r="B89" s="37">
        <f>B88+1</f>
        <v/>
      </c>
      <c r="C89" s="18" t="n">
        <v>0</v>
      </c>
      <c r="D89" s="18" t="n"/>
      <c r="E89" s="18">
        <f>D89-C89+E88</f>
        <v/>
      </c>
      <c r="F89" s="18" t="n">
        <v>135</v>
      </c>
      <c r="G89" s="18" t="n"/>
      <c r="H89" s="18">
        <f>G89-F89+H88</f>
        <v/>
      </c>
      <c r="I89" s="22" t="n"/>
      <c r="J89" s="44">
        <f>C89+F89+I89</f>
        <v/>
      </c>
    </row>
    <row r="90">
      <c r="B90" s="37">
        <f>B89+1</f>
        <v/>
      </c>
      <c r="C90" s="18" t="n">
        <v>0</v>
      </c>
      <c r="D90" s="18" t="n"/>
      <c r="E90" s="18">
        <f>D90-C90+E89</f>
        <v/>
      </c>
      <c r="F90" s="18" t="n">
        <v>135</v>
      </c>
      <c r="G90" s="18" t="n"/>
      <c r="H90" s="18">
        <f>G90-F90+H89</f>
        <v/>
      </c>
      <c r="I90" s="22" t="n"/>
      <c r="J90" s="44">
        <f>C90+F90+I90</f>
        <v/>
      </c>
    </row>
    <row r="91">
      <c r="B91" s="37">
        <f>B90+1</f>
        <v/>
      </c>
      <c r="C91" s="18" t="n">
        <v>135</v>
      </c>
      <c r="D91" s="18" t="n"/>
      <c r="E91" s="18">
        <f>D91-C91+E90</f>
        <v/>
      </c>
      <c r="F91" s="18" t="n">
        <v>135</v>
      </c>
      <c r="G91" s="18" t="n"/>
      <c r="H91" s="18">
        <f>G91-F91+H90</f>
        <v/>
      </c>
      <c r="I91" s="36" t="n"/>
      <c r="J91" s="44">
        <f>C91+F91+I91</f>
        <v/>
      </c>
    </row>
    <row r="92">
      <c r="B92" s="37">
        <f>B91+1</f>
        <v/>
      </c>
      <c r="C92" s="18" t="n">
        <v>135</v>
      </c>
      <c r="D92" s="18" t="n"/>
      <c r="E92" s="18">
        <f>D92-C92+E91</f>
        <v/>
      </c>
      <c r="F92" s="18" t="n">
        <v>0</v>
      </c>
      <c r="G92" s="18" t="n"/>
      <c r="H92" s="18">
        <f>G92-F92+H91</f>
        <v/>
      </c>
      <c r="I92" s="22" t="n"/>
      <c r="J92" s="44">
        <f>C92+F92+I92</f>
        <v/>
      </c>
    </row>
    <row r="93">
      <c r="B93" s="23">
        <f>B92+1</f>
        <v/>
      </c>
      <c r="C93" s="24" t="n">
        <v>0</v>
      </c>
      <c r="D93" s="24" t="n"/>
      <c r="E93" s="24">
        <f>D93-C93+E92</f>
        <v/>
      </c>
      <c r="F93" s="24" t="n">
        <v>0</v>
      </c>
      <c r="G93" s="24" t="n"/>
      <c r="H93" s="24">
        <f>G93-F93+H92</f>
        <v/>
      </c>
      <c r="I93" s="26" t="n"/>
      <c r="J93" s="46" t="n"/>
    </row>
    <row r="94" ht="15.75" customHeight="1" thickBot="1">
      <c r="B94" s="27">
        <f>B93+1</f>
        <v/>
      </c>
      <c r="C94" s="28" t="n">
        <v>0</v>
      </c>
      <c r="D94" s="28" t="n"/>
      <c r="E94" s="28">
        <f>D94-C94+E93</f>
        <v/>
      </c>
      <c r="F94" s="28" t="n"/>
      <c r="G94" s="28" t="n"/>
      <c r="H94" s="28">
        <f>G94-F94+H93</f>
        <v/>
      </c>
      <c r="I94" s="30" t="n"/>
      <c r="J94" s="47" t="n"/>
    </row>
    <row r="95">
      <c r="B95" s="13">
        <f>B94+1</f>
        <v/>
      </c>
      <c r="C95" s="32" t="n">
        <v>135</v>
      </c>
      <c r="D95" s="32" t="n"/>
      <c r="E95" s="32">
        <f>D95-C95+E94</f>
        <v/>
      </c>
      <c r="F95" s="32" t="n">
        <v>0</v>
      </c>
      <c r="G95" s="32" t="n"/>
      <c r="H95" s="32">
        <f>G95-F95+H94</f>
        <v/>
      </c>
      <c r="I95" s="34" t="n"/>
      <c r="J95" s="48">
        <f>C95+F95+I95</f>
        <v/>
      </c>
    </row>
    <row r="96">
      <c r="B96" s="37">
        <f>B95+1</f>
        <v/>
      </c>
      <c r="C96" s="18" t="n">
        <v>135</v>
      </c>
      <c r="D96" s="18" t="n"/>
      <c r="E96" s="18">
        <f>D96-C96+E95</f>
        <v/>
      </c>
      <c r="F96" s="18" t="n">
        <v>0</v>
      </c>
      <c r="G96" s="18" t="n"/>
      <c r="H96" s="18">
        <f>G96-F96+H95</f>
        <v/>
      </c>
      <c r="I96" s="22" t="n"/>
      <c r="J96" s="44">
        <f>C96+F96+I96</f>
        <v/>
      </c>
    </row>
    <row r="97">
      <c r="B97" s="37">
        <f>B96+1</f>
        <v/>
      </c>
      <c r="C97" s="18" t="n">
        <v>135</v>
      </c>
      <c r="D97" s="18" t="n"/>
      <c r="E97" s="18">
        <f>D97-C97+E96</f>
        <v/>
      </c>
      <c r="F97" s="18" t="n">
        <v>0</v>
      </c>
      <c r="G97" s="18" t="n"/>
      <c r="H97" s="18">
        <f>G97-F97+H96</f>
        <v/>
      </c>
      <c r="I97" s="22" t="n"/>
      <c r="J97" s="44">
        <f>C97+F97+I97</f>
        <v/>
      </c>
    </row>
    <row r="98">
      <c r="B98" s="37">
        <f>B97+1</f>
        <v/>
      </c>
      <c r="C98" s="18" t="n">
        <v>135</v>
      </c>
      <c r="D98" s="18" t="n"/>
      <c r="E98" s="18">
        <f>D98-C98+E97</f>
        <v/>
      </c>
      <c r="F98" s="18" t="n">
        <v>0</v>
      </c>
      <c r="G98" s="18" t="n"/>
      <c r="H98" s="18">
        <f>G98-F98+H97</f>
        <v/>
      </c>
      <c r="I98" s="36" t="n"/>
      <c r="J98" s="44">
        <f>C98+F98+I98</f>
        <v/>
      </c>
    </row>
    <row r="99">
      <c r="B99" s="37">
        <f>B98+1</f>
        <v/>
      </c>
      <c r="C99" s="18" t="n">
        <v>90</v>
      </c>
      <c r="D99" s="18" t="n"/>
      <c r="E99" s="18">
        <f>D99-C99+E98</f>
        <v/>
      </c>
      <c r="F99" s="18" t="n">
        <v>0</v>
      </c>
      <c r="G99" s="18" t="n"/>
      <c r="H99" s="18">
        <f>G99-F99+H98</f>
        <v/>
      </c>
      <c r="I99" s="22" t="n"/>
      <c r="J99" s="44">
        <f>C99+F99+I99</f>
        <v/>
      </c>
    </row>
    <row r="100">
      <c r="B100" s="23">
        <f>B99+1</f>
        <v/>
      </c>
      <c r="C100" s="24" t="n">
        <v>0</v>
      </c>
      <c r="D100" s="24" t="n"/>
      <c r="E100" s="24">
        <f>D100-C100+E99</f>
        <v/>
      </c>
      <c r="F100" s="24" t="n">
        <v>0</v>
      </c>
      <c r="G100" s="24" t="n"/>
      <c r="H100" s="24">
        <f>G100-F100+H99</f>
        <v/>
      </c>
      <c r="I100" s="26" t="n"/>
      <c r="J100" s="46" t="n"/>
    </row>
    <row r="101" ht="15.75" customHeight="1" thickBot="1">
      <c r="B101" s="27">
        <f>B100+1</f>
        <v/>
      </c>
      <c r="C101" s="28" t="n">
        <v>0</v>
      </c>
      <c r="D101" s="28" t="n"/>
      <c r="E101" s="28">
        <f>D101-C101+E100</f>
        <v/>
      </c>
      <c r="F101" s="28" t="n"/>
      <c r="G101" s="28" t="n"/>
      <c r="H101" s="28">
        <f>G101-F101+H100</f>
        <v/>
      </c>
      <c r="I101" s="30" t="n"/>
      <c r="J101" s="47" t="n"/>
    </row>
    <row r="102">
      <c r="B102" s="13">
        <f>B101+1</f>
        <v/>
      </c>
      <c r="C102" s="32" t="n">
        <v>0</v>
      </c>
      <c r="D102" s="32" t="n"/>
      <c r="E102" s="32">
        <f>D102-C102+E101</f>
        <v/>
      </c>
      <c r="F102" s="32" t="n">
        <v>135</v>
      </c>
      <c r="G102" s="32" t="n"/>
      <c r="H102" s="32">
        <f>G102-F102+H101</f>
        <v/>
      </c>
      <c r="I102" s="34" t="n"/>
      <c r="J102" s="48">
        <f>C102+F102+I102</f>
        <v/>
      </c>
    </row>
    <row r="103">
      <c r="B103" s="37">
        <f>B102+1</f>
        <v/>
      </c>
      <c r="C103" s="18" t="n">
        <v>0</v>
      </c>
      <c r="D103" s="18" t="n">
        <v>900</v>
      </c>
      <c r="E103" s="18">
        <f>D103-C103+E102</f>
        <v/>
      </c>
      <c r="F103" s="18" t="n">
        <v>135</v>
      </c>
      <c r="G103" s="18" t="n">
        <v>575</v>
      </c>
      <c r="H103" s="18">
        <f>G103-F103+H102</f>
        <v/>
      </c>
      <c r="I103" s="22" t="n"/>
      <c r="J103" s="44">
        <f>C103+F103+I103</f>
        <v/>
      </c>
    </row>
    <row r="104">
      <c r="B104" s="37">
        <f>B103+1</f>
        <v/>
      </c>
      <c r="C104" s="18" t="n">
        <v>0</v>
      </c>
      <c r="D104" s="18" t="n"/>
      <c r="E104" s="18">
        <f>D104-C104+E103</f>
        <v/>
      </c>
      <c r="F104" s="18" t="n">
        <v>135</v>
      </c>
      <c r="G104" s="18" t="n"/>
      <c r="H104" s="18">
        <f>G104-F104+H103</f>
        <v/>
      </c>
      <c r="I104" s="22" t="n"/>
      <c r="J104" s="44">
        <f>C104+F104+I104</f>
        <v/>
      </c>
    </row>
    <row r="105">
      <c r="B105" s="37">
        <f>B104+1</f>
        <v/>
      </c>
      <c r="C105" s="18" t="n">
        <v>0</v>
      </c>
      <c r="D105" s="18" t="n"/>
      <c r="E105" s="18">
        <f>D105-C105+E104</f>
        <v/>
      </c>
      <c r="F105" s="18" t="n">
        <v>135</v>
      </c>
      <c r="G105" s="18" t="n"/>
      <c r="H105" s="18">
        <f>G105-F105+H104</f>
        <v/>
      </c>
      <c r="I105" s="36" t="n"/>
      <c r="J105" s="44">
        <f>C105+F105+I105</f>
        <v/>
      </c>
    </row>
    <row r="106">
      <c r="B106" s="37">
        <f>B105+1</f>
        <v/>
      </c>
      <c r="C106" s="18" t="n">
        <v>0</v>
      </c>
      <c r="D106" s="18" t="n"/>
      <c r="E106" s="18">
        <f>D106-C106+E105</f>
        <v/>
      </c>
      <c r="F106" s="18" t="n">
        <v>15</v>
      </c>
      <c r="G106" s="18" t="n"/>
      <c r="H106" s="18">
        <f>G106-F106+H105</f>
        <v/>
      </c>
      <c r="I106" s="22" t="n"/>
      <c r="J106" s="44">
        <f>C106+F106+I106</f>
        <v/>
      </c>
    </row>
    <row r="107">
      <c r="B107" s="23">
        <f>B106+1</f>
        <v/>
      </c>
      <c r="C107" s="24" t="n">
        <v>0</v>
      </c>
      <c r="D107" s="24" t="n"/>
      <c r="E107" s="24">
        <f>D107-C107+E106</f>
        <v/>
      </c>
      <c r="F107" s="24" t="n">
        <v>0</v>
      </c>
      <c r="G107" s="24" t="n"/>
      <c r="H107" s="24">
        <f>G107-F107+H106</f>
        <v/>
      </c>
      <c r="I107" s="26" t="n"/>
      <c r="J107" s="46" t="n"/>
    </row>
    <row r="108" ht="15.75" customHeight="1" thickBot="1">
      <c r="B108" s="27">
        <f>B107+1</f>
        <v/>
      </c>
      <c r="C108" s="28" t="n">
        <v>0</v>
      </c>
      <c r="D108" s="28" t="n"/>
      <c r="E108" s="28">
        <f>D108-C108+E107</f>
        <v/>
      </c>
      <c r="F108" s="28" t="n"/>
      <c r="G108" s="28" t="n"/>
      <c r="H108" s="28">
        <f>G108-F108+H107</f>
        <v/>
      </c>
      <c r="I108" s="30" t="n"/>
      <c r="J108" s="47" t="n"/>
    </row>
  </sheetData>
  <pageMargins left="0.61" right="0.32" top="0.71" bottom="0.7" header="0.5" footer="0.5"/>
  <pageSetup orientation="landscape" scale="105"/>
  <headerFooter alignWithMargins="0">
    <oddHeader>&amp;C&amp;"Arial,Bold"Algonquin 180L Running Board Status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08"/>
  <sheetViews>
    <sheetView workbookViewId="0">
      <pane ySplit="3" topLeftCell="A4" activePane="bottomLeft" state="frozen"/>
      <selection pane="bottomLeft" activeCell="H10" sqref="H10"/>
    </sheetView>
  </sheetViews>
  <sheetFormatPr baseColWidth="8" defaultRowHeight="15"/>
  <cols>
    <col width="0.5703125" customWidth="1" style="1" min="1" max="1"/>
    <col width="10.85546875" customWidth="1" style="11" min="2" max="2"/>
    <col width="9.7109375" customWidth="1" style="6" min="3" max="4"/>
    <col width="11.85546875" customWidth="1" style="6" min="5" max="5"/>
    <col width="8.5703125" customWidth="1" style="6" min="6" max="6"/>
    <col width="9.7109375" customWidth="1" style="6" min="7" max="7"/>
    <col width="11.85546875" customWidth="1" style="6" min="8" max="8"/>
    <col width="9.7109375" bestFit="1" customWidth="1" style="1" min="9" max="9"/>
    <col width="11" customWidth="1" style="38" min="10" max="10"/>
    <col width="50.7109375" bestFit="1" customWidth="1" style="1" min="11" max="11"/>
    <col width="9.140625" customWidth="1" style="1" min="12" max="16384"/>
  </cols>
  <sheetData>
    <row r="1">
      <c r="B1" s="2" t="n"/>
      <c r="C1" s="11" t="n"/>
      <c r="D1" s="11" t="n"/>
      <c r="E1" s="6" t="n"/>
      <c r="F1" s="6" t="n"/>
      <c r="G1" s="11" t="n"/>
      <c r="H1" s="6" t="n"/>
      <c r="J1" s="38" t="n"/>
    </row>
    <row r="2" ht="15.75" customHeight="1" thickBot="1">
      <c r="B2" s="2" t="n"/>
      <c r="C2" s="7" t="inlineStr">
        <is>
          <t>Wheat Bin Loads</t>
        </is>
      </c>
      <c r="D2" s="7" t="n"/>
      <c r="E2" s="8" t="n"/>
      <c r="F2" s="9" t="inlineStr">
        <is>
          <t>Canola Bin Loads</t>
        </is>
      </c>
      <c r="G2" s="9" t="n"/>
      <c r="H2" s="10" t="n"/>
      <c r="I2" s="39" t="inlineStr">
        <is>
          <t>Flax Processing</t>
        </is>
      </c>
      <c r="J2" s="42" t="n"/>
      <c r="K2" s="6" t="n"/>
    </row>
    <row r="3" ht="75" customFormat="1" customHeight="1" s="12">
      <c r="B3" s="13" t="n"/>
      <c r="C3" s="14" t="inlineStr">
        <is>
          <t>Planned Production</t>
        </is>
      </c>
      <c r="D3" s="14" t="inlineStr">
        <is>
          <t>Purchase Orders Due</t>
        </is>
      </c>
      <c r="E3" s="14" t="inlineStr">
        <is>
          <t>Cumulative Open Purchase Orders (EOD)</t>
        </is>
      </c>
      <c r="F3" s="14" t="inlineStr">
        <is>
          <t>Planned Production</t>
        </is>
      </c>
      <c r="G3" s="14" t="inlineStr">
        <is>
          <t>Purchase Orders Due</t>
        </is>
      </c>
      <c r="H3" s="14" t="inlineStr">
        <is>
          <t>Cumulative Open Purchase Orders (EOD)</t>
        </is>
      </c>
      <c r="I3" s="41" t="inlineStr">
        <is>
          <t>Actual Var to PO</t>
        </is>
      </c>
      <c r="J3" s="43" t="inlineStr">
        <is>
          <t>Total Prod</t>
        </is>
      </c>
      <c r="K3" s="11" t="inlineStr">
        <is>
          <t>Notes</t>
        </is>
      </c>
    </row>
    <row r="4">
      <c r="B4" s="37" t="n">
        <v>43122</v>
      </c>
      <c r="C4" s="18" t="n">
        <v>120</v>
      </c>
      <c r="D4" s="18" t="n">
        <v>1065</v>
      </c>
      <c r="E4" s="18">
        <f>D4-C4</f>
        <v/>
      </c>
      <c r="F4" s="18" t="n">
        <v>0</v>
      </c>
      <c r="G4" s="18">
        <f>60+240+555</f>
        <v/>
      </c>
      <c r="H4" s="18">
        <f>G4-F4</f>
        <v/>
      </c>
      <c r="I4" s="18" t="n"/>
      <c r="J4" s="44">
        <f>C4+F4+I4</f>
        <v/>
      </c>
      <c r="K4" s="6" t="n"/>
    </row>
    <row r="5">
      <c r="B5" s="37">
        <f>B4+1</f>
        <v/>
      </c>
      <c r="C5" s="18" t="n">
        <v>120</v>
      </c>
      <c r="D5" s="18" t="n"/>
      <c r="E5" s="18">
        <f>D5-C5+E4</f>
        <v/>
      </c>
      <c r="F5" s="18" t="n">
        <v>0</v>
      </c>
      <c r="G5" s="18" t="n"/>
      <c r="H5" s="18">
        <f>G5-F5+H4</f>
        <v/>
      </c>
      <c r="I5" s="18" t="n"/>
      <c r="J5" s="44">
        <f>C5+F5+I5</f>
        <v/>
      </c>
      <c r="K5" s="6" t="n"/>
    </row>
    <row r="6">
      <c r="B6" s="37">
        <f>B5+1</f>
        <v/>
      </c>
      <c r="C6" s="19" t="n">
        <v>0</v>
      </c>
      <c r="D6" s="19" t="n"/>
      <c r="E6" s="19">
        <f>D6-C6+E5</f>
        <v/>
      </c>
      <c r="F6" s="19" t="n">
        <v>0</v>
      </c>
      <c r="G6" s="19" t="n"/>
      <c r="H6" s="19">
        <f>G6-F6+H5</f>
        <v/>
      </c>
      <c r="I6" s="21" t="n">
        <v>100</v>
      </c>
      <c r="J6" s="45">
        <f>C6+F6+I6</f>
        <v/>
      </c>
      <c r="K6" s="6" t="n"/>
    </row>
    <row r="7">
      <c r="B7" s="37">
        <f>B6+1</f>
        <v/>
      </c>
      <c r="C7" s="18" t="n">
        <v>120</v>
      </c>
      <c r="D7" s="18" t="n"/>
      <c r="E7" s="18">
        <f>D7-C7+E6</f>
        <v/>
      </c>
      <c r="F7" s="18" t="n">
        <v>0</v>
      </c>
      <c r="G7" s="18" t="n"/>
      <c r="H7" s="18">
        <f>G7-F7+H6</f>
        <v/>
      </c>
      <c r="I7" s="22" t="n"/>
      <c r="J7" s="44">
        <f>C7+F7+I7</f>
        <v/>
      </c>
    </row>
    <row r="8">
      <c r="B8" s="37">
        <f>B7+1</f>
        <v/>
      </c>
      <c r="C8" s="18" t="n">
        <v>120</v>
      </c>
      <c r="D8" s="18" t="n"/>
      <c r="E8" s="18">
        <f>D8-C8+E7</f>
        <v/>
      </c>
      <c r="F8" s="18" t="n">
        <v>0</v>
      </c>
      <c r="G8" s="18" t="n"/>
      <c r="H8" s="18">
        <f>G8-F8+H7</f>
        <v/>
      </c>
      <c r="I8" s="22" t="n"/>
      <c r="J8" s="44">
        <f>C8+F8+I8</f>
        <v/>
      </c>
    </row>
    <row r="9">
      <c r="B9" s="23">
        <f>B8+1</f>
        <v/>
      </c>
      <c r="C9" s="24" t="n">
        <v>0</v>
      </c>
      <c r="D9" s="24" t="n"/>
      <c r="E9" s="24">
        <f>D9-C9+E8</f>
        <v/>
      </c>
      <c r="F9" s="24" t="n"/>
      <c r="G9" s="24" t="n"/>
      <c r="H9" s="24">
        <f>G9-F9+H8</f>
        <v/>
      </c>
      <c r="I9" s="26" t="n"/>
      <c r="J9" s="46" t="n"/>
    </row>
    <row r="10" ht="15.75" customHeight="1" thickBot="1">
      <c r="B10" s="27">
        <f>B9+1</f>
        <v/>
      </c>
      <c r="C10" s="28" t="n">
        <v>0</v>
      </c>
      <c r="D10" s="28" t="n"/>
      <c r="E10" s="28">
        <f>D10-C10+E9</f>
        <v/>
      </c>
      <c r="F10" s="28" t="n"/>
      <c r="G10" s="28" t="n"/>
      <c r="H10" s="28">
        <f>G10-F10+H9</f>
        <v/>
      </c>
      <c r="I10" s="30" t="n"/>
      <c r="J10" s="47" t="n"/>
    </row>
    <row r="11">
      <c r="B11" s="13">
        <f>B10+1</f>
        <v/>
      </c>
      <c r="C11" s="32" t="n">
        <v>120</v>
      </c>
      <c r="D11" s="18" t="n"/>
      <c r="E11" s="18">
        <f>D11-C11+E10</f>
        <v/>
      </c>
      <c r="F11" s="32" t="n">
        <v>0</v>
      </c>
      <c r="G11" s="18" t="n"/>
      <c r="H11" s="18">
        <f>G11-F11+H10</f>
        <v/>
      </c>
      <c r="I11" s="34" t="n"/>
      <c r="J11" s="44">
        <f>C11+F11+I11</f>
        <v/>
      </c>
    </row>
    <row r="12">
      <c r="B12" s="37">
        <f>B11+1</f>
        <v/>
      </c>
      <c r="C12" s="18" t="n">
        <v>120</v>
      </c>
      <c r="D12" s="18" t="n"/>
      <c r="E12" s="18">
        <f>D12-C12+E11</f>
        <v/>
      </c>
      <c r="F12" s="18" t="n">
        <v>0</v>
      </c>
      <c r="G12" s="18" t="n"/>
      <c r="H12" s="18">
        <f>G12-F12+H11</f>
        <v/>
      </c>
      <c r="I12" s="22" t="n"/>
      <c r="J12" s="44">
        <f>C12+F12+I12</f>
        <v/>
      </c>
    </row>
    <row r="13">
      <c r="B13" s="37">
        <f>B12+1</f>
        <v/>
      </c>
      <c r="C13" s="18" t="n">
        <v>120</v>
      </c>
      <c r="D13" s="18" t="n"/>
      <c r="E13" s="18">
        <f>D13-C13+E12</f>
        <v/>
      </c>
      <c r="F13" s="18" t="n">
        <v>0</v>
      </c>
      <c r="G13" s="18" t="n"/>
      <c r="H13" s="18">
        <f>G13-F13+H12</f>
        <v/>
      </c>
      <c r="I13" s="36" t="n"/>
      <c r="J13" s="44">
        <f>C13+F13+I13</f>
        <v/>
      </c>
    </row>
    <row r="14">
      <c r="B14" s="37">
        <f>B13+1</f>
        <v/>
      </c>
      <c r="C14" s="18" t="n">
        <v>120</v>
      </c>
      <c r="D14" s="18" t="n">
        <v>855</v>
      </c>
      <c r="E14" s="18">
        <f>D14-C14+E13</f>
        <v/>
      </c>
      <c r="F14" s="18" t="n">
        <v>0</v>
      </c>
      <c r="G14" s="18" t="n">
        <v>555</v>
      </c>
      <c r="H14" s="18">
        <f>G14-F14+H13</f>
        <v/>
      </c>
      <c r="I14" s="22" t="n"/>
      <c r="J14" s="44">
        <f>C14+F14+I14</f>
        <v/>
      </c>
      <c r="K14" s="40" t="inlineStr">
        <is>
          <t>Grill Guard Production moved to another production cell</t>
        </is>
      </c>
    </row>
    <row r="15">
      <c r="B15" s="37">
        <f>B14+1</f>
        <v/>
      </c>
      <c r="C15" s="18" t="n">
        <v>120</v>
      </c>
      <c r="D15" s="18" t="n"/>
      <c r="E15" s="18">
        <f>D15-C15+E14</f>
        <v/>
      </c>
      <c r="F15" s="18" t="n">
        <v>0</v>
      </c>
      <c r="G15" s="18" t="n"/>
      <c r="H15" s="18">
        <f>G15-F15+H14</f>
        <v/>
      </c>
      <c r="I15" s="22" t="n"/>
      <c r="J15" s="44">
        <f>C15+F15+I15</f>
        <v/>
      </c>
      <c r="K15" s="40" t="n"/>
    </row>
    <row r="16">
      <c r="B16" s="23">
        <f>B15+1</f>
        <v/>
      </c>
      <c r="C16" s="24" t="n">
        <v>0</v>
      </c>
      <c r="D16" s="24" t="n"/>
      <c r="E16" s="24">
        <f>D16-C16+E15</f>
        <v/>
      </c>
      <c r="F16" s="24" t="n"/>
      <c r="G16" s="24" t="n"/>
      <c r="H16" s="24">
        <f>G16-F16+H15</f>
        <v/>
      </c>
      <c r="I16" s="26" t="n"/>
      <c r="J16" s="46" t="n"/>
      <c r="K16" s="40" t="n"/>
    </row>
    <row r="17" ht="15.75" customHeight="1" thickBot="1">
      <c r="B17" s="27">
        <f>B16+1</f>
        <v/>
      </c>
      <c r="C17" s="28" t="n">
        <v>0</v>
      </c>
      <c r="D17" s="28" t="n"/>
      <c r="E17" s="28">
        <f>D17-C17+E16</f>
        <v/>
      </c>
      <c r="F17" s="28" t="n"/>
      <c r="G17" s="28" t="n"/>
      <c r="H17" s="28">
        <f>G17-F17+H16</f>
        <v/>
      </c>
      <c r="I17" s="30" t="n"/>
      <c r="J17" s="47" t="n"/>
      <c r="K17" s="40" t="n"/>
    </row>
    <row r="18">
      <c r="B18" s="13">
        <f>B17+1</f>
        <v/>
      </c>
      <c r="C18" s="32" t="n">
        <v>170</v>
      </c>
      <c r="D18" s="18" t="n"/>
      <c r="E18" s="18">
        <f>D18-C18+E17</f>
        <v/>
      </c>
      <c r="F18" s="32" t="n">
        <v>0</v>
      </c>
      <c r="G18" s="18" t="n"/>
      <c r="H18" s="18">
        <f>G18-F18+H17</f>
        <v/>
      </c>
      <c r="I18" s="34" t="n"/>
      <c r="J18" s="44">
        <f>C18+F18+I18</f>
        <v/>
      </c>
      <c r="K18" s="40" t="inlineStr">
        <is>
          <t>Capacity increase to 135 sets/8 hour shift &amp; starting of 10 hour shifts</t>
        </is>
      </c>
    </row>
    <row r="19">
      <c r="B19" s="37">
        <f>B18+1</f>
        <v/>
      </c>
      <c r="C19" s="18" t="n">
        <v>170</v>
      </c>
      <c r="D19" s="18" t="n"/>
      <c r="E19" s="18">
        <f>D19-C19+E18</f>
        <v/>
      </c>
      <c r="F19" s="18" t="n">
        <v>0</v>
      </c>
      <c r="G19" s="18" t="n"/>
      <c r="H19" s="18">
        <f>G19-F19+H18</f>
        <v/>
      </c>
      <c r="I19" s="22" t="n"/>
      <c r="J19" s="44">
        <f>C19+F19+I19</f>
        <v/>
      </c>
      <c r="K19" s="40" t="n"/>
    </row>
    <row r="20">
      <c r="B20" s="37">
        <f>B19+1</f>
        <v/>
      </c>
      <c r="C20" s="18" t="n">
        <v>170</v>
      </c>
      <c r="D20" s="18" t="n"/>
      <c r="E20" s="18">
        <f>D20-C20+E19</f>
        <v/>
      </c>
      <c r="F20" s="18" t="n">
        <v>0</v>
      </c>
      <c r="G20" s="18" t="n"/>
      <c r="H20" s="18">
        <f>G20-F20+H19</f>
        <v/>
      </c>
      <c r="I20" s="36" t="n"/>
      <c r="J20" s="44">
        <f>C20+F20+I20</f>
        <v/>
      </c>
      <c r="K20" s="40" t="n"/>
    </row>
    <row r="21">
      <c r="B21" s="37">
        <f>B20+1</f>
        <v/>
      </c>
      <c r="C21" s="18" t="n">
        <v>170</v>
      </c>
      <c r="D21" s="18" t="n"/>
      <c r="E21" s="18">
        <f>D21-C21+E20</f>
        <v/>
      </c>
      <c r="F21" s="18" t="n">
        <v>0</v>
      </c>
      <c r="G21" s="18" t="n"/>
      <c r="H21" s="18">
        <f>G21-F21+H20</f>
        <v/>
      </c>
      <c r="I21" s="22" t="n"/>
      <c r="J21" s="44">
        <f>C21+F21+I21</f>
        <v/>
      </c>
      <c r="K21" s="40" t="n"/>
    </row>
    <row r="22">
      <c r="B22" s="37">
        <f>B21+1</f>
        <v/>
      </c>
      <c r="C22" s="18" t="n">
        <v>170</v>
      </c>
      <c r="D22" s="18" t="n"/>
      <c r="E22" s="18">
        <f>D22-C22+E21</f>
        <v/>
      </c>
      <c r="F22" s="18" t="n">
        <v>0</v>
      </c>
      <c r="G22" s="18" t="n"/>
      <c r="H22" s="18">
        <f>G22-F22+H21</f>
        <v/>
      </c>
      <c r="I22" s="36" t="n"/>
      <c r="J22" s="44">
        <f>C22+F22+I22</f>
        <v/>
      </c>
      <c r="K22" s="40" t="n"/>
    </row>
    <row r="23">
      <c r="B23" s="23">
        <f>B22+1</f>
        <v/>
      </c>
      <c r="C23" s="24" t="n">
        <v>0</v>
      </c>
      <c r="D23" s="24" t="n"/>
      <c r="E23" s="24">
        <f>D23-C23+E22</f>
        <v/>
      </c>
      <c r="F23" s="24" t="n"/>
      <c r="G23" s="24" t="n"/>
      <c r="H23" s="24">
        <f>G23-F23+H22</f>
        <v/>
      </c>
      <c r="I23" s="26" t="n"/>
      <c r="J23" s="46" t="n"/>
      <c r="K23" s="40" t="n"/>
    </row>
    <row r="24" ht="15.75" customHeight="1" thickBot="1">
      <c r="B24" s="27">
        <f>B23+1</f>
        <v/>
      </c>
      <c r="C24" s="28" t="n">
        <v>0</v>
      </c>
      <c r="D24" s="28" t="n"/>
      <c r="E24" s="28">
        <f>D24-C24+E23</f>
        <v/>
      </c>
      <c r="F24" s="28" t="n"/>
      <c r="G24" s="28" t="n"/>
      <c r="H24" s="28">
        <f>G24-F24+H23</f>
        <v/>
      </c>
      <c r="I24" s="30" t="n"/>
      <c r="J24" s="47" t="n"/>
      <c r="K24" s="40" t="n"/>
    </row>
    <row r="25">
      <c r="B25" s="13">
        <f>B24+1</f>
        <v/>
      </c>
      <c r="C25" s="32" t="n">
        <v>170</v>
      </c>
      <c r="D25" s="32" t="n"/>
      <c r="E25" s="32">
        <f>D25-C25+E24</f>
        <v/>
      </c>
      <c r="F25" s="32" t="n">
        <v>0</v>
      </c>
      <c r="G25" s="32" t="n"/>
      <c r="H25" s="32">
        <f>G25-F25+H24</f>
        <v/>
      </c>
      <c r="I25" s="34" t="n"/>
      <c r="J25" s="44">
        <f>C25+F25+I25</f>
        <v/>
      </c>
      <c r="K25" s="40" t="n"/>
    </row>
    <row r="26">
      <c r="B26" s="37">
        <f>B25+1</f>
        <v/>
      </c>
      <c r="C26" s="18" t="n">
        <v>170</v>
      </c>
      <c r="D26" s="18" t="n"/>
      <c r="E26" s="18">
        <f>D26-C26+E25</f>
        <v/>
      </c>
      <c r="F26" s="18" t="n">
        <v>0</v>
      </c>
      <c r="G26" s="18" t="n"/>
      <c r="H26" s="18">
        <f>G26-F26+H25</f>
        <v/>
      </c>
      <c r="I26" s="22" t="n"/>
      <c r="J26" s="44">
        <f>C26+F26+I26</f>
        <v/>
      </c>
      <c r="K26" s="40" t="n"/>
    </row>
    <row r="27">
      <c r="B27" s="37">
        <f>B26+1</f>
        <v/>
      </c>
      <c r="C27" s="18" t="n">
        <v>170</v>
      </c>
      <c r="D27" s="18" t="n"/>
      <c r="E27" s="18">
        <f>D27-C27+E26</f>
        <v/>
      </c>
      <c r="F27" s="18" t="n">
        <v>0</v>
      </c>
      <c r="G27" s="18" t="n"/>
      <c r="H27" s="18">
        <f>G27-F27+H26</f>
        <v/>
      </c>
      <c r="I27" s="36" t="n"/>
      <c r="J27" s="44">
        <f>C27+F27+I27</f>
        <v/>
      </c>
      <c r="K27" s="40" t="n"/>
    </row>
    <row r="28">
      <c r="B28" s="37">
        <f>B27+1</f>
        <v/>
      </c>
      <c r="C28" s="18" t="n">
        <v>170</v>
      </c>
      <c r="D28" s="18" t="n">
        <v>900</v>
      </c>
      <c r="E28" s="18">
        <f>D28-C28+E27</f>
        <v/>
      </c>
      <c r="F28" s="18" t="n">
        <v>0</v>
      </c>
      <c r="G28" s="18" t="n">
        <v>900</v>
      </c>
      <c r="H28" s="18">
        <f>G28-F28+H27</f>
        <v/>
      </c>
      <c r="I28" s="22" t="n"/>
      <c r="J28" s="44">
        <f>C28+F28+I28</f>
        <v/>
      </c>
      <c r="K28" s="40" t="n"/>
    </row>
    <row r="29">
      <c r="B29" s="37">
        <f>B28+1</f>
        <v/>
      </c>
      <c r="C29" s="18" t="n">
        <v>170</v>
      </c>
      <c r="D29" s="18" t="n"/>
      <c r="E29" s="18">
        <f>D29-C29+E28</f>
        <v/>
      </c>
      <c r="F29" s="18" t="n">
        <v>0</v>
      </c>
      <c r="G29" s="18" t="n"/>
      <c r="H29" s="18">
        <f>G29-F29+H28</f>
        <v/>
      </c>
      <c r="I29" s="36" t="n"/>
      <c r="J29" s="44">
        <f>C29+F29+I29</f>
        <v/>
      </c>
      <c r="K29" s="40" t="n"/>
    </row>
    <row r="30">
      <c r="B30" s="23">
        <f>B29+1</f>
        <v/>
      </c>
      <c r="C30" s="24" t="n">
        <v>0</v>
      </c>
      <c r="D30" s="24" t="n"/>
      <c r="E30" s="24">
        <f>D30-C30+E29</f>
        <v/>
      </c>
      <c r="F30" s="24" t="n"/>
      <c r="G30" s="24" t="n"/>
      <c r="H30" s="24">
        <f>G30-F30+H29</f>
        <v/>
      </c>
      <c r="I30" s="26" t="n"/>
      <c r="J30" s="46" t="n"/>
      <c r="K30" s="40" t="n"/>
    </row>
    <row r="31" ht="15.75" customHeight="1" thickBot="1">
      <c r="B31" s="27">
        <f>B30+1</f>
        <v/>
      </c>
      <c r="C31" s="28" t="n">
        <v>0</v>
      </c>
      <c r="D31" s="28" t="n"/>
      <c r="E31" s="28">
        <f>D31-C31+E30</f>
        <v/>
      </c>
      <c r="F31" s="28" t="n"/>
      <c r="G31" s="28" t="n"/>
      <c r="H31" s="28">
        <f>G31-F31+H30</f>
        <v/>
      </c>
      <c r="I31" s="30" t="n"/>
      <c r="J31" s="47" t="n"/>
      <c r="K31" s="40" t="n"/>
    </row>
    <row r="32">
      <c r="B32" s="23">
        <f>B31+1</f>
        <v/>
      </c>
      <c r="C32" s="24" t="n">
        <v>0</v>
      </c>
      <c r="D32" s="24" t="n"/>
      <c r="E32" s="24">
        <f>D32-C32+E31</f>
        <v/>
      </c>
      <c r="F32" s="24" t="n">
        <v>0</v>
      </c>
      <c r="G32" s="24" t="n"/>
      <c r="H32" s="24">
        <f>G32-F32+H31</f>
        <v/>
      </c>
      <c r="I32" s="26" t="n"/>
      <c r="J32" s="46">
        <f>C32+F32+I32</f>
        <v/>
      </c>
      <c r="K32" s="40" t="inlineStr">
        <is>
          <t>Louis Riel Stat Holiday</t>
        </is>
      </c>
    </row>
    <row r="33">
      <c r="B33" s="37">
        <f>B32+1</f>
        <v/>
      </c>
      <c r="C33" s="18" t="n">
        <v>40</v>
      </c>
      <c r="D33" s="18" t="n"/>
      <c r="E33" s="18">
        <f>D33-C33+E32</f>
        <v/>
      </c>
      <c r="F33" s="18" t="n">
        <v>130</v>
      </c>
      <c r="G33" s="18" t="n"/>
      <c r="H33" s="18">
        <f>G33-F33+H32</f>
        <v/>
      </c>
      <c r="I33" s="22" t="n"/>
      <c r="J33" s="44">
        <f>C33+F33+I33</f>
        <v/>
      </c>
      <c r="K33" s="40" t="n"/>
    </row>
    <row r="34">
      <c r="B34" s="37">
        <f>B33+1</f>
        <v/>
      </c>
      <c r="C34" s="18" t="n">
        <v>0</v>
      </c>
      <c r="D34" s="18" t="n"/>
      <c r="E34" s="18">
        <f>D34-C34+E33</f>
        <v/>
      </c>
      <c r="F34" s="18" t="n">
        <v>170</v>
      </c>
      <c r="G34" s="18" t="n"/>
      <c r="H34" s="18">
        <f>G34-F34+H33</f>
        <v/>
      </c>
      <c r="I34" s="22" t="n"/>
      <c r="J34" s="44">
        <f>C34+F34+I34</f>
        <v/>
      </c>
      <c r="K34" s="40" t="n"/>
    </row>
    <row r="35">
      <c r="B35" s="37">
        <f>B34+1</f>
        <v/>
      </c>
      <c r="C35" s="18" t="n">
        <v>0</v>
      </c>
      <c r="D35" s="18" t="n"/>
      <c r="E35" s="18">
        <f>D35-C35+E34</f>
        <v/>
      </c>
      <c r="F35" s="18" t="n">
        <v>170</v>
      </c>
      <c r="G35" s="18" t="n"/>
      <c r="H35" s="18">
        <f>G35-F35+H34</f>
        <v/>
      </c>
      <c r="I35" s="22" t="n"/>
      <c r="J35" s="44">
        <f>C35+F35+I35</f>
        <v/>
      </c>
    </row>
    <row r="36">
      <c r="B36" s="37">
        <f>B35+1</f>
        <v/>
      </c>
      <c r="C36" s="18" t="n">
        <v>0</v>
      </c>
      <c r="D36" s="18" t="n"/>
      <c r="E36" s="18">
        <f>D36-C36+E35</f>
        <v/>
      </c>
      <c r="F36" s="18" t="n">
        <v>170</v>
      </c>
      <c r="G36" s="18" t="n"/>
      <c r="H36" s="18">
        <f>G36-F36+H35</f>
        <v/>
      </c>
      <c r="I36" s="22" t="n"/>
      <c r="J36" s="44">
        <f>C36+F36+I36</f>
        <v/>
      </c>
    </row>
    <row r="37">
      <c r="B37" s="23">
        <f>B36+1</f>
        <v/>
      </c>
      <c r="C37" s="24" t="n">
        <v>0</v>
      </c>
      <c r="D37" s="24" t="n"/>
      <c r="E37" s="24">
        <f>D37-C37+E36</f>
        <v/>
      </c>
      <c r="F37" s="24" t="n">
        <v>0</v>
      </c>
      <c r="G37" s="24" t="n"/>
      <c r="H37" s="24">
        <f>G37-F37+H36</f>
        <v/>
      </c>
      <c r="I37" s="26" t="n"/>
      <c r="J37" s="46" t="n"/>
    </row>
    <row r="38" ht="15.75" customHeight="1" thickBot="1">
      <c r="B38" s="27">
        <f>B37+1</f>
        <v/>
      </c>
      <c r="C38" s="28" t="n">
        <v>0</v>
      </c>
      <c r="D38" s="28" t="n"/>
      <c r="E38" s="28">
        <f>D38-C38+E37</f>
        <v/>
      </c>
      <c r="F38" s="28" t="n"/>
      <c r="G38" s="28" t="n"/>
      <c r="H38" s="28">
        <f>G38-F38+H37</f>
        <v/>
      </c>
      <c r="I38" s="30" t="n"/>
      <c r="J38" s="47" t="n"/>
    </row>
    <row r="39">
      <c r="B39" s="13">
        <f>B38+1</f>
        <v/>
      </c>
      <c r="C39" s="18" t="n">
        <v>0</v>
      </c>
      <c r="D39" s="18" t="n"/>
      <c r="E39" s="18">
        <f>D39-C39+E38</f>
        <v/>
      </c>
      <c r="F39" s="18" t="n">
        <v>170</v>
      </c>
      <c r="G39" s="18" t="n"/>
      <c r="H39" s="18">
        <f>G39-F39+H38</f>
        <v/>
      </c>
      <c r="I39" s="36" t="n"/>
      <c r="J39" s="44">
        <f>C39+F39+I39</f>
        <v/>
      </c>
    </row>
    <row r="40">
      <c r="B40" s="37">
        <f>B39+1</f>
        <v/>
      </c>
      <c r="C40" s="18" t="n">
        <v>0</v>
      </c>
      <c r="D40" s="18" t="n"/>
      <c r="E40" s="18">
        <f>D40-C40+E39</f>
        <v/>
      </c>
      <c r="F40" s="18" t="n">
        <v>170</v>
      </c>
      <c r="G40" s="18" t="n"/>
      <c r="H40" s="18">
        <f>G40-F40+H39</f>
        <v/>
      </c>
      <c r="I40" s="22" t="n"/>
      <c r="J40" s="44">
        <f>C40+F40+I40</f>
        <v/>
      </c>
    </row>
    <row r="41">
      <c r="B41" s="37">
        <f>B40+1</f>
        <v/>
      </c>
      <c r="C41" s="18" t="n">
        <v>0</v>
      </c>
      <c r="D41" s="18" t="n"/>
      <c r="E41" s="18">
        <f>D41-C41+E40</f>
        <v/>
      </c>
      <c r="F41" s="18" t="n">
        <v>170</v>
      </c>
      <c r="G41" s="18" t="n"/>
      <c r="H41" s="18">
        <f>G41-F41+H40</f>
        <v/>
      </c>
      <c r="I41" s="22" t="n"/>
      <c r="J41" s="44">
        <f>C41+F41+I41</f>
        <v/>
      </c>
    </row>
    <row r="42">
      <c r="B42" s="37">
        <f>B41+1</f>
        <v/>
      </c>
      <c r="C42" s="18" t="n">
        <v>0</v>
      </c>
      <c r="D42" s="18" t="n">
        <v>900</v>
      </c>
      <c r="E42" s="18">
        <f>D42-C42+E41</f>
        <v/>
      </c>
      <c r="F42" s="18" t="n">
        <v>170</v>
      </c>
      <c r="G42" s="18" t="n">
        <v>575</v>
      </c>
      <c r="H42" s="18">
        <f>G42-F42+H41</f>
        <v/>
      </c>
      <c r="I42" s="22" t="n"/>
      <c r="J42" s="44">
        <f>C42+F42+I42</f>
        <v/>
      </c>
    </row>
    <row r="43">
      <c r="B43" s="37">
        <f>B42+1</f>
        <v/>
      </c>
      <c r="C43" s="18" t="n">
        <v>0</v>
      </c>
      <c r="D43" s="18" t="n"/>
      <c r="E43" s="18">
        <f>D43-C43+E42</f>
        <v/>
      </c>
      <c r="F43" s="18" t="n">
        <v>170</v>
      </c>
      <c r="G43" s="18" t="n"/>
      <c r="H43" s="18">
        <f>G43-F43+H42</f>
        <v/>
      </c>
      <c r="I43" s="36" t="n"/>
      <c r="J43" s="44">
        <f>C43+F43+I43</f>
        <v/>
      </c>
    </row>
    <row r="44">
      <c r="B44" s="23">
        <f>B43+1</f>
        <v/>
      </c>
      <c r="C44" s="24" t="n">
        <v>0</v>
      </c>
      <c r="D44" s="24" t="n"/>
      <c r="E44" s="24">
        <f>D44-C44+E43</f>
        <v/>
      </c>
      <c r="F44" s="24" t="n">
        <v>0</v>
      </c>
      <c r="G44" s="24" t="n"/>
      <c r="H44" s="24">
        <f>G44-F44+H43</f>
        <v/>
      </c>
      <c r="I44" s="26" t="n"/>
      <c r="J44" s="46" t="n"/>
    </row>
    <row r="45" ht="15.75" customHeight="1" thickBot="1">
      <c r="B45" s="27">
        <f>B44+1</f>
        <v/>
      </c>
      <c r="C45" s="28" t="n">
        <v>0</v>
      </c>
      <c r="D45" s="28" t="n"/>
      <c r="E45" s="28">
        <f>D45-C45+E44</f>
        <v/>
      </c>
      <c r="F45" s="28" t="n"/>
      <c r="G45" s="28" t="n"/>
      <c r="H45" s="28">
        <f>G45-F45+H44</f>
        <v/>
      </c>
      <c r="I45" s="30" t="n"/>
      <c r="J45" s="47" t="n"/>
    </row>
    <row r="46">
      <c r="B46" s="13">
        <f>B45+1</f>
        <v/>
      </c>
      <c r="C46" s="32" t="n">
        <v>0</v>
      </c>
      <c r="D46" s="32" t="n"/>
      <c r="E46" s="32">
        <f>D46-C46+E45</f>
        <v/>
      </c>
      <c r="F46" s="18" t="n">
        <v>170</v>
      </c>
      <c r="G46" s="32" t="n"/>
      <c r="H46" s="32">
        <f>G46-F46+H45</f>
        <v/>
      </c>
      <c r="I46" s="34" t="n"/>
      <c r="J46" s="48">
        <f>C46+F46+I46</f>
        <v/>
      </c>
    </row>
    <row r="47">
      <c r="B47" s="37">
        <f>B46+1</f>
        <v/>
      </c>
      <c r="C47" s="18" t="n">
        <v>0</v>
      </c>
      <c r="D47" s="18" t="n"/>
      <c r="E47" s="18">
        <f>D47-C47+E46</f>
        <v/>
      </c>
      <c r="F47" s="18" t="n">
        <v>170</v>
      </c>
      <c r="G47" s="18" t="n"/>
      <c r="H47" s="18">
        <f>G47-F47+H46</f>
        <v/>
      </c>
      <c r="I47" s="22" t="n"/>
      <c r="J47" s="44">
        <f>C47+F47+I47</f>
        <v/>
      </c>
    </row>
    <row r="48">
      <c r="B48" s="37">
        <f>B47+1</f>
        <v/>
      </c>
      <c r="C48" s="18" t="n">
        <v>0</v>
      </c>
      <c r="D48" s="18" t="n"/>
      <c r="E48" s="18">
        <f>D48-C48+E47</f>
        <v/>
      </c>
      <c r="F48" s="18" t="n">
        <v>170</v>
      </c>
      <c r="G48" s="18" t="n"/>
      <c r="H48" s="18">
        <f>G48-F48+H47</f>
        <v/>
      </c>
      <c r="I48" s="36" t="n"/>
      <c r="J48" s="44">
        <f>C48+F48+I48</f>
        <v/>
      </c>
    </row>
    <row r="49">
      <c r="B49" s="37">
        <f>B48+1</f>
        <v/>
      </c>
      <c r="C49" s="18" t="n">
        <v>0</v>
      </c>
      <c r="D49" s="18" t="n"/>
      <c r="E49" s="18">
        <f>D49-C49+E48</f>
        <v/>
      </c>
      <c r="F49" s="18" t="n">
        <v>170</v>
      </c>
      <c r="G49" s="18" t="n"/>
      <c r="H49" s="18">
        <f>G49-F49+H48</f>
        <v/>
      </c>
      <c r="I49" s="22" t="n"/>
      <c r="J49" s="44">
        <f>C49+F49+I49</f>
        <v/>
      </c>
    </row>
    <row r="50">
      <c r="B50" s="37">
        <f>B49+1</f>
        <v/>
      </c>
      <c r="C50" s="18" t="n">
        <v>0</v>
      </c>
      <c r="D50" s="18" t="n"/>
      <c r="E50" s="18">
        <f>D50-C50+E49</f>
        <v/>
      </c>
      <c r="F50" s="18" t="n">
        <v>170</v>
      </c>
      <c r="G50" s="18" t="n"/>
      <c r="H50" s="18">
        <f>G50-F50+H49</f>
        <v/>
      </c>
      <c r="I50" s="22" t="n"/>
      <c r="J50" s="44">
        <f>C50+F50+I50</f>
        <v/>
      </c>
    </row>
    <row r="51">
      <c r="B51" s="23">
        <f>B50+1</f>
        <v/>
      </c>
      <c r="C51" s="24" t="n">
        <v>0</v>
      </c>
      <c r="D51" s="24" t="n"/>
      <c r="E51" s="24">
        <f>D51-C51+E50</f>
        <v/>
      </c>
      <c r="F51" s="24" t="n">
        <v>0</v>
      </c>
      <c r="G51" s="24" t="n"/>
      <c r="H51" s="24">
        <f>G51-F51+H50</f>
        <v/>
      </c>
      <c r="I51" s="26" t="n"/>
      <c r="J51" s="46" t="n"/>
    </row>
    <row r="52" ht="15.75" customHeight="1" thickBot="1">
      <c r="B52" s="27">
        <f>B51+1</f>
        <v/>
      </c>
      <c r="C52" s="28" t="n">
        <v>0</v>
      </c>
      <c r="D52" s="28" t="n"/>
      <c r="E52" s="28">
        <f>D52-C52+E51</f>
        <v/>
      </c>
      <c r="F52" s="28" t="n"/>
      <c r="G52" s="28" t="n"/>
      <c r="H52" s="28">
        <f>G52-F52+H51</f>
        <v/>
      </c>
      <c r="I52" s="30" t="n"/>
      <c r="J52" s="47" t="n"/>
    </row>
    <row r="53">
      <c r="B53" s="13">
        <f>B52+1</f>
        <v/>
      </c>
      <c r="C53" s="32" t="n">
        <v>135</v>
      </c>
      <c r="D53" s="32" t="n"/>
      <c r="E53" s="32">
        <f>D53-C53+E52</f>
        <v/>
      </c>
      <c r="F53" s="32" t="n">
        <v>0</v>
      </c>
      <c r="G53" s="32" t="n"/>
      <c r="H53" s="32">
        <f>G53-F53+H52</f>
        <v/>
      </c>
      <c r="I53" s="34" t="n"/>
      <c r="J53" s="48">
        <f>C53+F53+I53</f>
        <v/>
      </c>
      <c r="K53" s="40" t="inlineStr">
        <is>
          <t>End of extended Shifts</t>
        </is>
      </c>
    </row>
    <row r="54">
      <c r="B54" s="37">
        <f>B53+1</f>
        <v/>
      </c>
      <c r="C54" s="18" t="n">
        <v>135</v>
      </c>
      <c r="D54" s="18" t="n"/>
      <c r="E54" s="18">
        <f>D54-C54+E53</f>
        <v/>
      </c>
      <c r="F54" s="18" t="n">
        <v>0</v>
      </c>
      <c r="G54" s="18" t="n"/>
      <c r="H54" s="18">
        <f>G54-F54+H53</f>
        <v/>
      </c>
      <c r="I54" s="22" t="n"/>
      <c r="J54" s="44">
        <f>C54+F54+I54</f>
        <v/>
      </c>
    </row>
    <row r="55">
      <c r="B55" s="37">
        <f>B54+1</f>
        <v/>
      </c>
      <c r="C55" s="18" t="n">
        <v>135</v>
      </c>
      <c r="D55" s="18" t="n"/>
      <c r="E55" s="18">
        <f>D55-C55+E54</f>
        <v/>
      </c>
      <c r="F55" s="18" t="n">
        <v>0</v>
      </c>
      <c r="G55" s="18" t="n"/>
      <c r="H55" s="18">
        <f>G55-F55+H54</f>
        <v/>
      </c>
      <c r="I55" s="22" t="n"/>
      <c r="J55" s="44">
        <f>C55+F55+I55</f>
        <v/>
      </c>
    </row>
    <row r="56">
      <c r="B56" s="37">
        <f>B55+1</f>
        <v/>
      </c>
      <c r="C56" s="18" t="n">
        <v>135</v>
      </c>
      <c r="D56" s="18" t="n"/>
      <c r="E56" s="18">
        <f>D56-C56+E55</f>
        <v/>
      </c>
      <c r="F56" s="18" t="n">
        <v>0</v>
      </c>
      <c r="G56" s="18" t="n"/>
      <c r="H56" s="18">
        <f>G56-F56+H55</f>
        <v/>
      </c>
      <c r="I56" s="22" t="n"/>
      <c r="J56" s="44">
        <f>C56+F56+I56</f>
        <v/>
      </c>
    </row>
    <row r="57">
      <c r="B57" s="37">
        <f>B56+1</f>
        <v/>
      </c>
      <c r="C57" s="18" t="n">
        <v>135</v>
      </c>
      <c r="D57" s="18" t="n"/>
      <c r="E57" s="18">
        <f>D57-C57+E56</f>
        <v/>
      </c>
      <c r="F57" s="18" t="n">
        <v>5</v>
      </c>
      <c r="G57" s="18" t="n"/>
      <c r="H57" s="18">
        <f>G57-F57+H56</f>
        <v/>
      </c>
      <c r="I57" s="22" t="n"/>
      <c r="J57" s="44">
        <f>C57+F57+I57</f>
        <v/>
      </c>
    </row>
    <row r="58">
      <c r="B58" s="23">
        <f>B57+1</f>
        <v/>
      </c>
      <c r="C58" s="24" t="n">
        <v>0</v>
      </c>
      <c r="D58" s="24" t="n"/>
      <c r="E58" s="24">
        <f>D58-C58+E57</f>
        <v/>
      </c>
      <c r="F58" s="24" t="n">
        <v>0</v>
      </c>
      <c r="G58" s="24" t="n"/>
      <c r="H58" s="24">
        <f>G58-F58+H57</f>
        <v/>
      </c>
      <c r="I58" s="26" t="n"/>
      <c r="J58" s="46" t="n"/>
    </row>
    <row r="59" ht="15.75" customHeight="1" thickBot="1">
      <c r="B59" s="27">
        <f>B58+1</f>
        <v/>
      </c>
      <c r="C59" s="28" t="n">
        <v>0</v>
      </c>
      <c r="D59" s="28" t="n"/>
      <c r="E59" s="28">
        <f>D59-C59+E58</f>
        <v/>
      </c>
      <c r="F59" s="28" t="n"/>
      <c r="G59" s="28" t="n"/>
      <c r="H59" s="28">
        <f>G59-F59+H58</f>
        <v/>
      </c>
      <c r="I59" s="30" t="n"/>
      <c r="J59" s="47" t="n"/>
    </row>
    <row r="60">
      <c r="B60" s="13">
        <f>B59+1</f>
        <v/>
      </c>
      <c r="C60" s="32" t="n">
        <v>135</v>
      </c>
      <c r="D60" s="32" t="n"/>
      <c r="E60" s="32">
        <f>D60-C60+E59</f>
        <v/>
      </c>
      <c r="F60" s="32" t="n">
        <v>0</v>
      </c>
      <c r="G60" s="32" t="n"/>
      <c r="H60" s="32">
        <f>G60-F60+H59</f>
        <v/>
      </c>
      <c r="I60" s="34" t="n"/>
      <c r="J60" s="48">
        <f>C60+F60+I60</f>
        <v/>
      </c>
    </row>
    <row r="61">
      <c r="B61" s="37">
        <f>B60+1</f>
        <v/>
      </c>
      <c r="C61" s="18" t="n">
        <v>90</v>
      </c>
      <c r="D61" s="18" t="n"/>
      <c r="E61" s="18">
        <f>D61-C61+E60</f>
        <v/>
      </c>
      <c r="F61" s="18" t="n">
        <v>45</v>
      </c>
      <c r="G61" s="18" t="n"/>
      <c r="H61" s="18">
        <f>G61-F61+H60</f>
        <v/>
      </c>
      <c r="I61" s="36" t="n"/>
      <c r="J61" s="44">
        <f>C61+F61+I61</f>
        <v/>
      </c>
    </row>
    <row r="62">
      <c r="B62" s="37">
        <f>B61+1</f>
        <v/>
      </c>
      <c r="C62" s="18" t="n">
        <v>0</v>
      </c>
      <c r="D62" s="18" t="n"/>
      <c r="E62" s="18">
        <f>D62-C62+E61</f>
        <v/>
      </c>
      <c r="F62" s="18" t="n">
        <v>135</v>
      </c>
      <c r="G62" s="18" t="n"/>
      <c r="H62" s="18">
        <f>G62-F62+H61</f>
        <v/>
      </c>
      <c r="I62" s="22" t="n"/>
      <c r="J62" s="44">
        <f>C62+F62+I62</f>
        <v/>
      </c>
    </row>
    <row r="63">
      <c r="B63" s="37">
        <f>B62+1</f>
        <v/>
      </c>
      <c r="C63" s="18" t="n">
        <v>0</v>
      </c>
      <c r="D63" s="18" t="n"/>
      <c r="E63" s="18">
        <f>D63-C63+E62</f>
        <v/>
      </c>
      <c r="F63" s="18" t="n">
        <v>135</v>
      </c>
      <c r="G63" s="18" t="n"/>
      <c r="H63" s="18">
        <f>G63-F63+H62</f>
        <v/>
      </c>
      <c r="I63" s="22" t="n"/>
      <c r="J63" s="44">
        <f>C63+F63+I63</f>
        <v/>
      </c>
    </row>
    <row r="64">
      <c r="B64" s="37">
        <f>B63+1</f>
        <v/>
      </c>
      <c r="C64" s="18" t="n">
        <v>0</v>
      </c>
      <c r="D64" s="18" t="n"/>
      <c r="E64" s="18">
        <f>D64-C64+E63</f>
        <v/>
      </c>
      <c r="F64" s="18" t="n">
        <v>135</v>
      </c>
      <c r="G64" s="18" t="n"/>
      <c r="H64" s="18">
        <f>G64-F64+H63</f>
        <v/>
      </c>
      <c r="I64" s="22" t="n"/>
      <c r="J64" s="44">
        <f>C64+F64+I64</f>
        <v/>
      </c>
    </row>
    <row r="65">
      <c r="B65" s="23">
        <f>B64+1</f>
        <v/>
      </c>
      <c r="C65" s="24" t="n">
        <v>0</v>
      </c>
      <c r="D65" s="24" t="n"/>
      <c r="E65" s="24">
        <f>D65-C65+E64</f>
        <v/>
      </c>
      <c r="F65" s="24" t="n">
        <v>0</v>
      </c>
      <c r="G65" s="24" t="n"/>
      <c r="H65" s="24">
        <f>G65-F65+H64</f>
        <v/>
      </c>
      <c r="I65" s="26" t="n"/>
      <c r="J65" s="46" t="n"/>
    </row>
    <row r="66" ht="15.75" customHeight="1" thickBot="1">
      <c r="B66" s="27">
        <f>B65+1</f>
        <v/>
      </c>
      <c r="C66" s="28" t="n">
        <v>0</v>
      </c>
      <c r="D66" s="28" t="n"/>
      <c r="E66" s="28">
        <f>D66-C66+E65</f>
        <v/>
      </c>
      <c r="F66" s="28" t="n"/>
      <c r="G66" s="28" t="n"/>
      <c r="H66" s="28">
        <f>G66-F66+H65</f>
        <v/>
      </c>
      <c r="I66" s="30" t="n"/>
      <c r="J66" s="47" t="n"/>
    </row>
    <row r="67">
      <c r="B67" s="13">
        <f>B66+1</f>
        <v/>
      </c>
      <c r="C67" s="32" t="n">
        <v>0</v>
      </c>
      <c r="D67" s="32" t="n"/>
      <c r="E67" s="32">
        <f>D67-C67+E66</f>
        <v/>
      </c>
      <c r="F67" s="32" t="n">
        <v>90</v>
      </c>
      <c r="G67" s="32" t="n"/>
      <c r="H67" s="32">
        <f>G67-F67+H66</f>
        <v/>
      </c>
      <c r="I67" s="34" t="n"/>
      <c r="J67" s="48">
        <f>C67+F67+I67</f>
        <v/>
      </c>
    </row>
    <row r="68">
      <c r="B68" s="37">
        <f>B67+1</f>
        <v/>
      </c>
      <c r="C68" s="18" t="n">
        <v>135</v>
      </c>
      <c r="D68" s="18" t="n"/>
      <c r="E68" s="18">
        <f>D68-C68+E67</f>
        <v/>
      </c>
      <c r="F68" s="18" t="n">
        <v>0</v>
      </c>
      <c r="G68" s="18" t="n"/>
      <c r="H68" s="18">
        <f>G68-F68+H67</f>
        <v/>
      </c>
      <c r="I68" s="22" t="n"/>
      <c r="J68" s="44">
        <f>C68+F68+I68</f>
        <v/>
      </c>
    </row>
    <row r="69">
      <c r="B69" s="37">
        <f>B68+1</f>
        <v/>
      </c>
      <c r="C69" s="18" t="n">
        <v>135</v>
      </c>
      <c r="D69" s="18" t="n"/>
      <c r="E69" s="18">
        <f>D69-C69+E68</f>
        <v/>
      </c>
      <c r="F69" s="18" t="n">
        <v>135</v>
      </c>
      <c r="G69" s="18" t="n"/>
      <c r="H69" s="18">
        <f>G69-F69+H68</f>
        <v/>
      </c>
      <c r="I69" s="22" t="n"/>
      <c r="J69" s="44">
        <f>C69+F69+I69</f>
        <v/>
      </c>
    </row>
    <row r="70">
      <c r="B70" s="37">
        <f>B69+1</f>
        <v/>
      </c>
      <c r="C70" s="18" t="n">
        <v>135</v>
      </c>
      <c r="D70" s="18" t="n"/>
      <c r="E70" s="18">
        <f>D70-C70+E69</f>
        <v/>
      </c>
      <c r="F70" s="18" t="n">
        <v>0</v>
      </c>
      <c r="G70" s="18" t="n"/>
      <c r="H70" s="18">
        <f>G70-F70+H69</f>
        <v/>
      </c>
      <c r="I70" s="36" t="n"/>
      <c r="J70" s="44">
        <f>C70+F70+I70</f>
        <v/>
      </c>
    </row>
    <row r="71">
      <c r="B71" s="23">
        <f>B70+1</f>
        <v/>
      </c>
      <c r="C71" s="24" t="n">
        <v>0</v>
      </c>
      <c r="D71" s="24" t="n"/>
      <c r="E71" s="24">
        <f>D71-C71+E70</f>
        <v/>
      </c>
      <c r="F71" s="24" t="n">
        <v>0</v>
      </c>
      <c r="G71" s="24" t="n"/>
      <c r="H71" s="24">
        <f>G71-F71+H70</f>
        <v/>
      </c>
      <c r="I71" s="26" t="n"/>
      <c r="J71" s="49">
        <f>C71+F71+I71</f>
        <v/>
      </c>
      <c r="K71" s="40" t="inlineStr">
        <is>
          <t>Good Friday Stat Holiday</t>
        </is>
      </c>
    </row>
    <row r="72">
      <c r="B72" s="23">
        <f>B71+1</f>
        <v/>
      </c>
      <c r="C72" s="24" t="n">
        <v>0</v>
      </c>
      <c r="D72" s="24" t="n"/>
      <c r="E72" s="24">
        <f>D72-C72+E71</f>
        <v/>
      </c>
      <c r="F72" s="24" t="n">
        <v>0</v>
      </c>
      <c r="G72" s="24" t="n"/>
      <c r="H72" s="24">
        <f>G72-F72+H71</f>
        <v/>
      </c>
      <c r="I72" s="26" t="n"/>
      <c r="J72" s="46" t="n"/>
      <c r="K72" s="40" t="n"/>
    </row>
    <row r="73" ht="15.75" customHeight="1" thickBot="1">
      <c r="B73" s="27">
        <f>B72+1</f>
        <v/>
      </c>
      <c r="C73" s="28" t="n">
        <v>0</v>
      </c>
      <c r="D73" s="28" t="n"/>
      <c r="E73" s="28">
        <f>D73-C73+E72</f>
        <v/>
      </c>
      <c r="F73" s="28" t="n"/>
      <c r="G73" s="28" t="n"/>
      <c r="H73" s="28">
        <f>G73-F73+H72</f>
        <v/>
      </c>
      <c r="I73" s="30" t="n"/>
      <c r="J73" s="47" t="n"/>
    </row>
    <row r="74">
      <c r="B74" s="13">
        <f>B73+1</f>
        <v/>
      </c>
      <c r="C74" s="32" t="n">
        <v>135</v>
      </c>
      <c r="D74" s="32" t="n">
        <v>900</v>
      </c>
      <c r="E74" s="32">
        <f>D74-C74+E73</f>
        <v/>
      </c>
      <c r="F74" s="32" t="n">
        <v>0</v>
      </c>
      <c r="G74" s="32" t="n">
        <v>575</v>
      </c>
      <c r="H74" s="32">
        <f>G74-F74+H73</f>
        <v/>
      </c>
      <c r="I74" s="34" t="n"/>
      <c r="J74" s="48">
        <f>C74+F74+I74</f>
        <v/>
      </c>
    </row>
    <row r="75">
      <c r="B75" s="37">
        <f>B74+1</f>
        <v/>
      </c>
      <c r="C75" s="18" t="n">
        <v>135</v>
      </c>
      <c r="D75" s="18" t="n"/>
      <c r="E75" s="18">
        <f>D75-C75+E74</f>
        <v/>
      </c>
      <c r="F75" s="18" t="n">
        <v>0</v>
      </c>
      <c r="G75" s="18" t="n"/>
      <c r="H75" s="18">
        <f>G75-F75+H74</f>
        <v/>
      </c>
      <c r="I75" s="22" t="n"/>
      <c r="J75" s="44">
        <f>C75+F75+I75</f>
        <v/>
      </c>
    </row>
    <row r="76">
      <c r="B76" s="37">
        <f>B75+1</f>
        <v/>
      </c>
      <c r="C76" s="18" t="n">
        <v>135</v>
      </c>
      <c r="D76" s="18" t="n"/>
      <c r="E76" s="18">
        <f>D76-C76+E75</f>
        <v/>
      </c>
      <c r="F76" s="18" t="n">
        <v>0</v>
      </c>
      <c r="G76" s="18" t="n"/>
      <c r="H76" s="18">
        <f>G76-F76+H75</f>
        <v/>
      </c>
      <c r="I76" s="22" t="n"/>
      <c r="J76" s="44">
        <f>C76+F76+I76</f>
        <v/>
      </c>
    </row>
    <row r="77">
      <c r="B77" s="37">
        <f>B76+1</f>
        <v/>
      </c>
      <c r="C77" s="18" t="n">
        <v>90</v>
      </c>
      <c r="D77" s="18" t="n"/>
      <c r="E77" s="18">
        <f>D77-C77+E76</f>
        <v/>
      </c>
      <c r="F77" s="18" t="n">
        <v>85</v>
      </c>
      <c r="G77" s="18" t="n"/>
      <c r="H77" s="18">
        <f>G77-F77+H76</f>
        <v/>
      </c>
      <c r="I77" s="36" t="n"/>
      <c r="J77" s="44">
        <f>C77+F77+I77</f>
        <v/>
      </c>
    </row>
    <row r="78">
      <c r="B78" s="37">
        <f>B77+1</f>
        <v/>
      </c>
      <c r="C78" s="18" t="n">
        <v>0</v>
      </c>
      <c r="D78" s="18" t="n"/>
      <c r="E78" s="18">
        <f>D78-C78+E77</f>
        <v/>
      </c>
      <c r="F78" s="18" t="n">
        <v>135</v>
      </c>
      <c r="G78" s="18" t="n"/>
      <c r="H78" s="18">
        <f>G78-F78+H77</f>
        <v/>
      </c>
      <c r="I78" s="22" t="n"/>
      <c r="J78" s="44">
        <f>C78+F78+I78</f>
        <v/>
      </c>
    </row>
    <row r="79">
      <c r="B79" s="23">
        <f>B78+1</f>
        <v/>
      </c>
      <c r="C79" s="24" t="n">
        <v>0</v>
      </c>
      <c r="D79" s="24" t="n"/>
      <c r="E79" s="24">
        <f>D79-C79+E78</f>
        <v/>
      </c>
      <c r="F79" s="24" t="n">
        <v>0</v>
      </c>
      <c r="G79" s="24" t="n"/>
      <c r="H79" s="24">
        <f>G79-F79+H78</f>
        <v/>
      </c>
      <c r="I79" s="26" t="n"/>
      <c r="J79" s="46" t="n"/>
    </row>
    <row r="80" ht="15.75" customHeight="1" thickBot="1">
      <c r="B80" s="27">
        <f>B79+1</f>
        <v/>
      </c>
      <c r="C80" s="28" t="n">
        <v>0</v>
      </c>
      <c r="D80" s="28" t="n"/>
      <c r="E80" s="28">
        <f>D80-C80+E79</f>
        <v/>
      </c>
      <c r="F80" s="28" t="n"/>
      <c r="G80" s="28" t="n"/>
      <c r="H80" s="28">
        <f>G80-F80+H79</f>
        <v/>
      </c>
      <c r="I80" s="30" t="n"/>
      <c r="J80" s="47" t="n"/>
    </row>
    <row r="81">
      <c r="B81" s="13">
        <f>B80+1</f>
        <v/>
      </c>
      <c r="C81" s="32" t="n">
        <v>0</v>
      </c>
      <c r="D81" s="32" t="n"/>
      <c r="E81" s="32">
        <f>D81-C81+E80</f>
        <v/>
      </c>
      <c r="F81" s="32" t="n">
        <v>135</v>
      </c>
      <c r="G81" s="32" t="n"/>
      <c r="H81" s="32">
        <f>G81-F81+H80</f>
        <v/>
      </c>
      <c r="I81" s="34" t="n"/>
      <c r="J81" s="48">
        <f>C81+F81+I81</f>
        <v/>
      </c>
    </row>
    <row r="82">
      <c r="B82" s="37">
        <f>B81+1</f>
        <v/>
      </c>
      <c r="C82" s="18" t="n">
        <v>0</v>
      </c>
      <c r="D82" s="18" t="n"/>
      <c r="E82" s="18">
        <f>D82-C82+E81</f>
        <v/>
      </c>
      <c r="F82" s="18" t="n">
        <v>135</v>
      </c>
      <c r="G82" s="18" t="n"/>
      <c r="H82" s="18">
        <f>G82-F82+H81</f>
        <v/>
      </c>
      <c r="I82" s="22" t="n"/>
      <c r="J82" s="44">
        <f>C82+F82+I82</f>
        <v/>
      </c>
    </row>
    <row r="83">
      <c r="B83" s="37">
        <f>B82+1</f>
        <v/>
      </c>
      <c r="C83" s="18" t="n">
        <v>0</v>
      </c>
      <c r="D83" s="18" t="n"/>
      <c r="E83" s="18">
        <f>D83-C83+E82</f>
        <v/>
      </c>
      <c r="F83" s="18" t="n">
        <v>135</v>
      </c>
      <c r="G83" s="18" t="n"/>
      <c r="H83" s="18">
        <f>G83-F83+H82</f>
        <v/>
      </c>
      <c r="I83" s="22" t="n"/>
      <c r="J83" s="44">
        <f>C83+F83+I83</f>
        <v/>
      </c>
    </row>
    <row r="84">
      <c r="B84" s="37">
        <f>B83+1</f>
        <v/>
      </c>
      <c r="C84" s="18" t="n">
        <v>0</v>
      </c>
      <c r="D84" s="18" t="n"/>
      <c r="E84" s="18">
        <f>D84-C84+E83</f>
        <v/>
      </c>
      <c r="F84" s="18" t="n">
        <v>135</v>
      </c>
      <c r="G84" s="18" t="n"/>
      <c r="H84" s="18">
        <f>G84-F84+H83</f>
        <v/>
      </c>
      <c r="I84" s="36" t="n"/>
      <c r="J84" s="44">
        <f>C84+F84+I84</f>
        <v/>
      </c>
      <c r="K84" s="40" t="inlineStr">
        <is>
          <t>Cut off day for Production to Catch up to April Production</t>
        </is>
      </c>
    </row>
    <row r="85">
      <c r="B85" s="37">
        <f>B84+1</f>
        <v/>
      </c>
      <c r="C85" s="18" t="n">
        <v>0</v>
      </c>
      <c r="D85" s="18" t="n"/>
      <c r="E85" s="18">
        <f>D85-C85+E84</f>
        <v/>
      </c>
      <c r="F85" s="18" t="n">
        <v>135</v>
      </c>
      <c r="G85" s="18" t="n"/>
      <c r="H85" s="18">
        <f>G85-F85+H84</f>
        <v/>
      </c>
      <c r="I85" s="22" t="n"/>
      <c r="J85" s="44">
        <f>C85+F85+I85</f>
        <v/>
      </c>
    </row>
    <row r="86">
      <c r="B86" s="23">
        <f>B85+1</f>
        <v/>
      </c>
      <c r="C86" s="24" t="n">
        <v>0</v>
      </c>
      <c r="D86" s="24" t="n"/>
      <c r="E86" s="24">
        <f>D86-C86+E85</f>
        <v/>
      </c>
      <c r="F86" s="24" t="n">
        <v>0</v>
      </c>
      <c r="G86" s="24" t="n"/>
      <c r="H86" s="24">
        <f>G86-F86+H85</f>
        <v/>
      </c>
      <c r="I86" s="26" t="n"/>
      <c r="J86" s="46" t="n"/>
    </row>
    <row r="87" ht="15.75" customHeight="1" thickBot="1">
      <c r="B87" s="27">
        <f>B86+1</f>
        <v/>
      </c>
      <c r="C87" s="28" t="n">
        <v>0</v>
      </c>
      <c r="D87" s="28" t="n"/>
      <c r="E87" s="28">
        <f>D87-C87+E86</f>
        <v/>
      </c>
      <c r="F87" s="28" t="n"/>
      <c r="G87" s="28" t="n"/>
      <c r="H87" s="28">
        <f>G87-F87+H86</f>
        <v/>
      </c>
      <c r="I87" s="30" t="n"/>
      <c r="J87" s="47" t="n"/>
    </row>
    <row r="88">
      <c r="B88" s="13">
        <f>B87+1</f>
        <v/>
      </c>
      <c r="C88" s="32" t="n">
        <v>0</v>
      </c>
      <c r="D88" s="32" t="n"/>
      <c r="E88" s="32">
        <f>D88-C88+E87</f>
        <v/>
      </c>
      <c r="F88" s="32" t="n">
        <v>120</v>
      </c>
      <c r="G88" s="32" t="n"/>
      <c r="H88" s="32">
        <f>G88-F88+H87</f>
        <v/>
      </c>
      <c r="I88" s="34" t="n"/>
      <c r="J88" s="48">
        <f>C88+F88+I88</f>
        <v/>
      </c>
    </row>
    <row r="89">
      <c r="B89" s="37">
        <f>B88+1</f>
        <v/>
      </c>
      <c r="C89" s="18" t="n">
        <v>135</v>
      </c>
      <c r="D89" s="18" t="n"/>
      <c r="E89" s="18">
        <f>D89-C89+E88</f>
        <v/>
      </c>
      <c r="F89" s="18" t="n"/>
      <c r="G89" s="18" t="n"/>
      <c r="H89" s="18">
        <f>G89-F89+H88</f>
        <v/>
      </c>
      <c r="I89" s="22" t="n"/>
      <c r="J89" s="44">
        <f>C89+F89+I89</f>
        <v/>
      </c>
    </row>
    <row r="90">
      <c r="B90" s="37">
        <f>B89+1</f>
        <v/>
      </c>
      <c r="C90" s="18" t="n">
        <v>135</v>
      </c>
      <c r="D90" s="18" t="n"/>
      <c r="E90" s="18">
        <f>D90-C90+E89</f>
        <v/>
      </c>
      <c r="F90" s="18" t="n"/>
      <c r="G90" s="18" t="n"/>
      <c r="H90" s="18">
        <f>G90-F90+H89</f>
        <v/>
      </c>
      <c r="I90" s="22" t="n"/>
      <c r="J90" s="44">
        <f>C90+F90+I90</f>
        <v/>
      </c>
    </row>
    <row r="91">
      <c r="B91" s="37">
        <f>B90+1</f>
        <v/>
      </c>
      <c r="C91" s="18" t="n">
        <v>135</v>
      </c>
      <c r="D91" s="18" t="n"/>
      <c r="E91" s="18">
        <f>D91-C91+E90</f>
        <v/>
      </c>
      <c r="F91" s="18" t="n">
        <v>0</v>
      </c>
      <c r="G91" s="18" t="n"/>
      <c r="H91" s="18">
        <f>G91-F91+H90</f>
        <v/>
      </c>
      <c r="I91" s="36" t="n"/>
      <c r="J91" s="44">
        <f>C91+F91+I91</f>
        <v/>
      </c>
    </row>
    <row r="92">
      <c r="B92" s="37">
        <f>B91+1</f>
        <v/>
      </c>
      <c r="C92" s="18" t="n">
        <v>135</v>
      </c>
      <c r="D92" s="18" t="n"/>
      <c r="E92" s="18">
        <f>D92-C92+E91</f>
        <v/>
      </c>
      <c r="F92" s="18" t="n">
        <v>0</v>
      </c>
      <c r="G92" s="18" t="n"/>
      <c r="H92" s="18">
        <f>G92-F92+H91</f>
        <v/>
      </c>
      <c r="I92" s="22" t="n"/>
      <c r="J92" s="44">
        <f>C92+F92+I92</f>
        <v/>
      </c>
    </row>
    <row r="93">
      <c r="B93" s="23">
        <f>B92+1</f>
        <v/>
      </c>
      <c r="C93" s="24" t="n">
        <v>0</v>
      </c>
      <c r="D93" s="24" t="n"/>
      <c r="E93" s="24">
        <f>D93-C93+E92</f>
        <v/>
      </c>
      <c r="F93" s="24" t="n">
        <v>0</v>
      </c>
      <c r="G93" s="24" t="n"/>
      <c r="H93" s="24">
        <f>G93-F93+H92</f>
        <v/>
      </c>
      <c r="I93" s="26" t="n"/>
      <c r="J93" s="46" t="n"/>
    </row>
    <row r="94" ht="15.75" customHeight="1" thickBot="1">
      <c r="B94" s="27">
        <f>B93+1</f>
        <v/>
      </c>
      <c r="C94" s="28" t="n">
        <v>0</v>
      </c>
      <c r="D94" s="28" t="n"/>
      <c r="E94" s="28">
        <f>D94-C94+E93</f>
        <v/>
      </c>
      <c r="F94" s="28" t="n"/>
      <c r="G94" s="28" t="n"/>
      <c r="H94" s="28">
        <f>G94-F94+H93</f>
        <v/>
      </c>
      <c r="I94" s="30" t="n"/>
      <c r="J94" s="47" t="n"/>
    </row>
    <row r="95">
      <c r="B95" s="13">
        <f>B94+1</f>
        <v/>
      </c>
      <c r="C95" s="32" t="n">
        <v>135</v>
      </c>
      <c r="D95" s="32" t="n"/>
      <c r="E95" s="32">
        <f>D95-C95+E94</f>
        <v/>
      </c>
      <c r="F95" s="32" t="n"/>
      <c r="G95" s="32" t="n"/>
      <c r="H95" s="32">
        <f>G95-F95+H94</f>
        <v/>
      </c>
      <c r="I95" s="34" t="n"/>
      <c r="J95" s="48">
        <f>C95+F95+I95</f>
        <v/>
      </c>
    </row>
    <row r="96">
      <c r="B96" s="37">
        <f>B95+1</f>
        <v/>
      </c>
      <c r="C96" s="18" t="n">
        <v>135</v>
      </c>
      <c r="D96" s="18" t="n"/>
      <c r="E96" s="18">
        <f>D96-C96+E95</f>
        <v/>
      </c>
      <c r="F96" s="18" t="n"/>
      <c r="G96" s="18" t="n"/>
      <c r="H96" s="18">
        <f>G96-F96+H95</f>
        <v/>
      </c>
      <c r="I96" s="22" t="n"/>
      <c r="J96" s="44">
        <f>C96+F96+I96</f>
        <v/>
      </c>
    </row>
    <row r="97">
      <c r="B97" s="37">
        <f>B96+1</f>
        <v/>
      </c>
      <c r="C97" s="18" t="n">
        <v>90</v>
      </c>
      <c r="D97" s="18" t="n"/>
      <c r="E97" s="18">
        <f>D97-C97+E96</f>
        <v/>
      </c>
      <c r="F97" s="18" t="n"/>
      <c r="G97" s="18" t="n"/>
      <c r="H97" s="18">
        <f>G97-F97+H96</f>
        <v/>
      </c>
      <c r="I97" s="22" t="n"/>
      <c r="J97" s="44">
        <f>C97+F97+I97</f>
        <v/>
      </c>
    </row>
    <row r="98">
      <c r="B98" s="37">
        <f>B97+1</f>
        <v/>
      </c>
      <c r="C98" s="18" t="n">
        <v>0</v>
      </c>
      <c r="D98" s="18" t="n"/>
      <c r="E98" s="18">
        <f>D98-C98+E97</f>
        <v/>
      </c>
      <c r="F98" s="18" t="n">
        <v>0</v>
      </c>
      <c r="G98" s="18" t="n"/>
      <c r="H98" s="18">
        <f>G98-F98+H97</f>
        <v/>
      </c>
      <c r="I98" s="36" t="n"/>
      <c r="J98" s="44">
        <f>C98+F98+I98</f>
        <v/>
      </c>
    </row>
    <row r="99">
      <c r="B99" s="37">
        <f>B98+1</f>
        <v/>
      </c>
      <c r="C99" s="18" t="n">
        <v>0</v>
      </c>
      <c r="D99" s="18" t="n"/>
      <c r="E99" s="18">
        <f>D99-C99+E98</f>
        <v/>
      </c>
      <c r="F99" s="18" t="n">
        <v>0</v>
      </c>
      <c r="G99" s="18" t="n"/>
      <c r="H99" s="18">
        <f>G99-F99+H98</f>
        <v/>
      </c>
      <c r="I99" s="22" t="n"/>
      <c r="J99" s="44">
        <f>C99+F99+I99</f>
        <v/>
      </c>
    </row>
    <row r="100">
      <c r="B100" s="23">
        <f>B99+1</f>
        <v/>
      </c>
      <c r="C100" s="24" t="n">
        <v>0</v>
      </c>
      <c r="D100" s="24" t="n"/>
      <c r="E100" s="24">
        <f>D100-C100+E99</f>
        <v/>
      </c>
      <c r="F100" s="24" t="n">
        <v>0</v>
      </c>
      <c r="G100" s="24" t="n"/>
      <c r="H100" s="24">
        <f>G100-F100+H99</f>
        <v/>
      </c>
      <c r="I100" s="26" t="n"/>
      <c r="J100" s="46" t="n"/>
    </row>
    <row r="101" ht="15.75" customHeight="1" thickBot="1">
      <c r="B101" s="27">
        <f>B100+1</f>
        <v/>
      </c>
      <c r="C101" s="28" t="n">
        <v>0</v>
      </c>
      <c r="D101" s="28" t="n"/>
      <c r="E101" s="28">
        <f>D101-C101+E100</f>
        <v/>
      </c>
      <c r="F101" s="28" t="n"/>
      <c r="G101" s="28" t="n"/>
      <c r="H101" s="28">
        <f>G101-F101+H100</f>
        <v/>
      </c>
      <c r="I101" s="30" t="n"/>
      <c r="J101" s="47" t="n"/>
    </row>
    <row r="102">
      <c r="B102" s="13">
        <f>B101+1</f>
        <v/>
      </c>
      <c r="C102" s="32" t="n">
        <v>0</v>
      </c>
      <c r="D102" s="32" t="n"/>
      <c r="E102" s="32">
        <f>D102-C102+E101</f>
        <v/>
      </c>
      <c r="F102" s="32" t="n"/>
      <c r="G102" s="32" t="n"/>
      <c r="H102" s="32">
        <f>G102-F102+H101</f>
        <v/>
      </c>
      <c r="I102" s="34" t="n"/>
      <c r="J102" s="48">
        <f>C102+F102+I102</f>
        <v/>
      </c>
    </row>
    <row r="103">
      <c r="B103" s="37">
        <f>B102+1</f>
        <v/>
      </c>
      <c r="C103" s="18" t="n">
        <v>0</v>
      </c>
      <c r="D103" s="18" t="n">
        <v>900</v>
      </c>
      <c r="E103" s="18">
        <f>D103-C103+E102</f>
        <v/>
      </c>
      <c r="F103" s="18" t="n"/>
      <c r="G103" s="18" t="n">
        <v>575</v>
      </c>
      <c r="H103" s="18">
        <f>G103-F103+H102</f>
        <v/>
      </c>
      <c r="I103" s="22" t="n"/>
      <c r="J103" s="44">
        <f>C103+F103+I103</f>
        <v/>
      </c>
    </row>
    <row r="104">
      <c r="B104" s="37">
        <f>B103+1</f>
        <v/>
      </c>
      <c r="C104" s="18" t="n">
        <v>0</v>
      </c>
      <c r="D104" s="18" t="n"/>
      <c r="E104" s="18">
        <f>D104-C104+E103</f>
        <v/>
      </c>
      <c r="F104" s="18" t="n"/>
      <c r="G104" s="18" t="n"/>
      <c r="H104" s="18">
        <f>G104-F104+H103</f>
        <v/>
      </c>
      <c r="I104" s="22" t="n"/>
      <c r="J104" s="44">
        <f>C104+F104+I104</f>
        <v/>
      </c>
    </row>
    <row r="105">
      <c r="B105" s="37">
        <f>B104+1</f>
        <v/>
      </c>
      <c r="C105" s="18" t="n">
        <v>0</v>
      </c>
      <c r="D105" s="18" t="n"/>
      <c r="E105" s="18">
        <f>D105-C105+E104</f>
        <v/>
      </c>
      <c r="F105" s="18" t="n">
        <v>0</v>
      </c>
      <c r="G105" s="18" t="n"/>
      <c r="H105" s="18">
        <f>G105-F105+H104</f>
        <v/>
      </c>
      <c r="I105" s="36" t="n"/>
      <c r="J105" s="44">
        <f>C105+F105+I105</f>
        <v/>
      </c>
    </row>
    <row r="106">
      <c r="B106" s="37">
        <f>B105+1</f>
        <v/>
      </c>
      <c r="C106" s="18" t="n">
        <v>0</v>
      </c>
      <c r="D106" s="18" t="n"/>
      <c r="E106" s="18">
        <f>D106-C106+E105</f>
        <v/>
      </c>
      <c r="F106" s="18" t="n">
        <v>0</v>
      </c>
      <c r="G106" s="18" t="n"/>
      <c r="H106" s="18">
        <f>G106-F106+H105</f>
        <v/>
      </c>
      <c r="I106" s="22" t="n"/>
      <c r="J106" s="44">
        <f>C106+F106+I106</f>
        <v/>
      </c>
    </row>
    <row r="107">
      <c r="B107" s="23">
        <f>B106+1</f>
        <v/>
      </c>
      <c r="C107" s="24" t="n">
        <v>0</v>
      </c>
      <c r="D107" s="24" t="n"/>
      <c r="E107" s="24">
        <f>D107-C107+E106</f>
        <v/>
      </c>
      <c r="F107" s="24" t="n">
        <v>0</v>
      </c>
      <c r="G107" s="24" t="n"/>
      <c r="H107" s="24">
        <f>G107-F107+H106</f>
        <v/>
      </c>
      <c r="I107" s="26" t="n"/>
      <c r="J107" s="46" t="n"/>
    </row>
    <row r="108" ht="15.75" customHeight="1" thickBot="1">
      <c r="B108" s="27">
        <f>B107+1</f>
        <v/>
      </c>
      <c r="C108" s="28" t="n">
        <v>0</v>
      </c>
      <c r="D108" s="28" t="n"/>
      <c r="E108" s="28">
        <f>D108-C108+E107</f>
        <v/>
      </c>
      <c r="F108" s="28" t="n"/>
      <c r="G108" s="28" t="n"/>
      <c r="H108" s="28">
        <f>G108-F108+H107</f>
        <v/>
      </c>
      <c r="I108" s="30" t="n"/>
      <c r="J108" s="47" t="n"/>
    </row>
  </sheetData>
  <pageMargins left="0.61" right="0.32" top="0.71" bottom="0.7" header="0.5" footer="0.5"/>
  <pageSetup orientation="landscape" scale="105"/>
  <headerFooter alignWithMargins="0">
    <oddHeader>&amp;C&amp;"Arial,Bold"Algonquin 180L Running Board Status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jungs1</dc:creator>
  <dcterms:created xmlns:dcterms="http://purl.org/dc/terms/" xmlns:xsi="http://www.w3.org/2001/XMLSchema-instance" xsi:type="dcterms:W3CDTF">2006-10-17T15:23:50Z</dcterms:created>
  <dcterms:modified xmlns:dcterms="http://purl.org/dc/terms/" xmlns:xsi="http://www.w3.org/2001/XMLSchema-instance" xsi:type="dcterms:W3CDTF">2026-03-14T05:44:38Z</dcterms:modified>
  <cp:lastModifiedBy>Susan Levang</cp:lastModifiedBy>
  <cp:lastPrinted>2007-01-16T21:41:28Z</cp:lastPrinted>
</cp:coreProperties>
</file>