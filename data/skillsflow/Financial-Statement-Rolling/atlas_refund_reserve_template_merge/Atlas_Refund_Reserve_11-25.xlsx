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und Summary" sheetId="1" state="visible" r:id="rId1"/>
    <sheet name="Enterprise Refunds #2215" sheetId="2" state="visible" r:id="rId2"/>
    <sheet name="SMB Refunds #2218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Atlas Cloud Commerce</t>
        </is>
      </c>
    </row>
    <row r="2">
      <c r="A2" t="inlineStr">
        <is>
          <t>Refund Reserve Summary</t>
        </is>
      </c>
    </row>
    <row r="3">
      <c r="A3" t="inlineStr">
        <is>
          <t>For the period ending 11/30/2025</t>
        </is>
      </c>
    </row>
    <row r="4"/>
    <row r="5">
      <c r="A5" t="inlineStr">
        <is>
          <t>Description</t>
        </is>
      </c>
      <c r="B5" t="inlineStr">
        <is>
          <t>Amount</t>
        </is>
      </c>
    </row>
    <row r="6">
      <c r="A6" t="inlineStr">
        <is>
          <t>Enterprise Refund Reserve (Acct 2215)</t>
        </is>
      </c>
    </row>
    <row r="7">
      <c r="A7" t="inlineStr">
        <is>
          <t>Enterprise refund accruals in period</t>
        </is>
      </c>
      <c r="B7">
        <f>'Enterprise Refunds #2215'!O9</f>
        <v/>
      </c>
    </row>
    <row r="8">
      <c r="A8" t="inlineStr">
        <is>
          <t>Enterprise credits issued in period</t>
        </is>
      </c>
      <c r="B8">
        <f>'Enterprise Refunds #2215'!O10</f>
        <v/>
      </c>
    </row>
    <row r="9">
      <c r="A9" t="inlineStr">
        <is>
          <t>Enterprise refund GL balance at 11/30/2025</t>
        </is>
      </c>
      <c r="B9">
        <f>'Enterprise Refunds #2215'!O12</f>
        <v/>
      </c>
    </row>
    <row r="10"/>
    <row r="11">
      <c r="A11" t="inlineStr">
        <is>
          <t>SMB Refund Reserve (Acct 2218)</t>
        </is>
      </c>
    </row>
    <row r="12">
      <c r="A12" t="inlineStr">
        <is>
          <t>SMB refund accruals in period</t>
        </is>
      </c>
      <c r="B12">
        <f>'SMB Refunds #2218'!O9</f>
        <v/>
      </c>
    </row>
    <row r="13">
      <c r="A13" t="inlineStr">
        <is>
          <t>SMB credits issued in period</t>
        </is>
      </c>
      <c r="B13">
        <f>'SMB Refunds #2218'!O10</f>
        <v/>
      </c>
    </row>
    <row r="14">
      <c r="A14" t="inlineStr">
        <is>
          <t>SMB refund GL balance at 11/30/2025</t>
        </is>
      </c>
      <c r="B14">
        <f>'SMB Refunds #2218'!O12</f>
        <v/>
      </c>
    </row>
    <row r="15"/>
    <row r="16">
      <c r="A16" t="inlineStr">
        <is>
          <t>Total refund reserve balance at 11/30/2025</t>
        </is>
      </c>
      <c r="B16">
        <f>B9+B14</f>
        <v/>
      </c>
    </row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Atlas Cloud Commerce</t>
        </is>
      </c>
    </row>
    <row r="2">
      <c r="A2" t="inlineStr">
        <is>
          <t>Enterprise Refund Reserve #2215 as of 11/30/2025</t>
        </is>
      </c>
    </row>
    <row r="3">
      <c r="A3" t="inlineStr">
        <is>
          <t>Refund reserve activity from August through November 2025</t>
        </is>
      </c>
    </row>
    <row r="4">
      <c r="A4" t="inlineStr">
        <is>
          <t>Customer</t>
        </is>
      </c>
      <c r="B4" t="inlineStr">
        <is>
          <t>Beginning Balance</t>
        </is>
      </c>
      <c r="C4" t="inlineStr">
        <is>
          <t>Aug</t>
        </is>
      </c>
      <c r="D4" t="inlineStr">
        <is>
          <t>Aug</t>
        </is>
      </c>
      <c r="E4" t="inlineStr">
        <is>
          <t>Aug</t>
        </is>
      </c>
      <c r="F4" t="inlineStr">
        <is>
          <t>Sep</t>
        </is>
      </c>
      <c r="G4" t="inlineStr">
        <is>
          <t>Sep</t>
        </is>
      </c>
      <c r="H4" t="inlineStr">
        <is>
          <t>Sep</t>
        </is>
      </c>
      <c r="I4" t="inlineStr">
        <is>
          <t>Oct</t>
        </is>
      </c>
      <c r="J4" t="inlineStr">
        <is>
          <t>Oct</t>
        </is>
      </c>
      <c r="K4" t="inlineStr">
        <is>
          <t>Oct</t>
        </is>
      </c>
      <c r="L4" t="inlineStr">
        <is>
          <t>Nov</t>
        </is>
      </c>
      <c r="M4" t="inlineStr">
        <is>
          <t>Nov</t>
        </is>
      </c>
      <c r="N4" t="inlineStr">
        <is>
          <t>Nov</t>
        </is>
      </c>
      <c r="O4" t="inlineStr">
        <is>
          <t>Reserve Months</t>
        </is>
      </c>
      <c r="P4" t="inlineStr">
        <is>
          <t>Notes</t>
        </is>
      </c>
      <c r="Q4" t="inlineStr">
        <is>
          <t>Reserve Account</t>
        </is>
      </c>
    </row>
    <row r="5">
      <c r="C5" t="inlineStr">
        <is>
          <t>Refund Accruals</t>
        </is>
      </c>
      <c r="D5" t="inlineStr">
        <is>
          <t>Credits Issued</t>
        </is>
      </c>
      <c r="E5" t="inlineStr">
        <is>
          <t>Ending Balance</t>
        </is>
      </c>
      <c r="F5" t="inlineStr">
        <is>
          <t>Refund Accruals</t>
        </is>
      </c>
      <c r="G5" t="inlineStr">
        <is>
          <t>Credits Issued</t>
        </is>
      </c>
      <c r="H5" t="inlineStr">
        <is>
          <t>Ending Balance</t>
        </is>
      </c>
      <c r="I5" t="inlineStr">
        <is>
          <t>Refund Accruals</t>
        </is>
      </c>
      <c r="J5" t="inlineStr">
        <is>
          <t>Credits Issued</t>
        </is>
      </c>
      <c r="K5" t="inlineStr">
        <is>
          <t>Ending Balance</t>
        </is>
      </c>
      <c r="L5" t="inlineStr">
        <is>
          <t>Refund Accruals</t>
        </is>
      </c>
      <c r="M5" t="inlineStr">
        <is>
          <t>Credits Issued</t>
        </is>
      </c>
      <c r="N5" t="inlineStr">
        <is>
          <t>Ending Balance</t>
        </is>
      </c>
    </row>
    <row r="6">
      <c r="A6" t="inlineStr">
        <is>
          <t>Apex Media</t>
        </is>
      </c>
      <c r="B6" t="n">
        <v>0</v>
      </c>
      <c r="C6" t="n">
        <v>6000</v>
      </c>
      <c r="D6" t="n">
        <v>1500</v>
      </c>
      <c r="E6" t="n">
        <v>4500</v>
      </c>
      <c r="F6" t="n">
        <v>0</v>
      </c>
      <c r="G6" t="n">
        <v>1500</v>
      </c>
      <c r="H6" t="n">
        <v>3000</v>
      </c>
      <c r="I6" t="n">
        <v>2000</v>
      </c>
      <c r="J6" t="n">
        <v>1750</v>
      </c>
      <c r="K6" t="n">
        <v>3250</v>
      </c>
      <c r="L6" t="n">
        <v>0</v>
      </c>
      <c r="M6" t="n">
        <v>1750</v>
      </c>
      <c r="N6" t="n">
        <v>1500</v>
      </c>
      <c r="O6" t="n">
        <v>6</v>
      </c>
      <c r="P6" t="inlineStr">
        <is>
          <t>Annual refund reserve</t>
        </is>
      </c>
      <c r="Q6" t="n">
        <v>2215</v>
      </c>
    </row>
    <row r="7">
      <c r="A7" t="inlineStr">
        <is>
          <t>Beacon Works</t>
        </is>
      </c>
      <c r="B7" t="n">
        <v>0</v>
      </c>
      <c r="C7" t="n">
        <v>0</v>
      </c>
      <c r="D7" t="n">
        <v>0</v>
      </c>
      <c r="E7" t="n">
        <v>0</v>
      </c>
      <c r="F7" t="n">
        <v>10000</v>
      </c>
      <c r="G7" t="n">
        <v>2500</v>
      </c>
      <c r="H7" t="n">
        <v>7500</v>
      </c>
      <c r="I7" t="n">
        <v>0</v>
      </c>
      <c r="J7" t="n">
        <v>2500</v>
      </c>
      <c r="K7" t="n">
        <v>5000</v>
      </c>
      <c r="L7" t="n">
        <v>0</v>
      </c>
      <c r="M7" t="n">
        <v>2500</v>
      </c>
      <c r="N7" t="n">
        <v>2500</v>
      </c>
      <c r="O7" t="n">
        <v>4</v>
      </c>
      <c r="P7" t="inlineStr">
        <is>
          <t>Large-enterprise credits</t>
        </is>
      </c>
      <c r="Q7" t="n">
        <v>2215</v>
      </c>
    </row>
    <row r="8">
      <c r="A8" t="inlineStr">
        <is>
          <t>Crest Health</t>
        </is>
      </c>
      <c r="B8" t="n">
        <v>0</v>
      </c>
      <c r="C8" t="n">
        <v>4000</v>
      </c>
      <c r="D8" t="n">
        <v>1000</v>
      </c>
      <c r="E8" t="n">
        <v>3000</v>
      </c>
      <c r="F8" t="n">
        <v>0</v>
      </c>
      <c r="G8" t="n">
        <v>1000</v>
      </c>
      <c r="H8" t="n">
        <v>2000</v>
      </c>
      <c r="I8" t="n">
        <v>0</v>
      </c>
      <c r="J8" t="n">
        <v>1000</v>
      </c>
      <c r="K8" t="n">
        <v>1000</v>
      </c>
      <c r="L8" t="n">
        <v>1000</v>
      </c>
      <c r="M8" t="n">
        <v>1000</v>
      </c>
      <c r="N8" t="n">
        <v>1000</v>
      </c>
      <c r="O8" t="n">
        <v>6</v>
      </c>
      <c r="P8" t="inlineStr">
        <is>
          <t>Contract transition reserve</t>
        </is>
      </c>
      <c r="Q8" t="n">
        <v>2215</v>
      </c>
    </row>
    <row r="9">
      <c r="A9" t="inlineStr">
        <is>
          <t>Period Totals</t>
        </is>
      </c>
      <c r="B9">
        <f>SUM(B6:B8)</f>
        <v/>
      </c>
      <c r="C9">
        <f>SUM(C6:C8)</f>
        <v/>
      </c>
      <c r="D9">
        <f>SUM(D6:D8)</f>
        <v/>
      </c>
      <c r="E9">
        <f>SUM(E6:E8)</f>
        <v/>
      </c>
      <c r="F9">
        <f>SUM(F6:F8)</f>
        <v/>
      </c>
      <c r="G9">
        <f>SUM(G6:G8)</f>
        <v/>
      </c>
      <c r="H9">
        <f>SUM(H6:H8)</f>
        <v/>
      </c>
      <c r="I9">
        <f>SUM(I6:I8)</f>
        <v/>
      </c>
      <c r="J9">
        <f>SUM(J6:J8)</f>
        <v/>
      </c>
      <c r="K9">
        <f>SUM(K6:K8)</f>
        <v/>
      </c>
      <c r="L9">
        <f>SUM(L6:L8)</f>
        <v/>
      </c>
      <c r="M9">
        <f>SUM(M6:M8)</f>
        <v/>
      </c>
      <c r="N9">
        <f>SUM(N6:N8)</f>
        <v/>
      </c>
      <c r="O9">
        <f>C9+F9+I9+L9</f>
        <v/>
      </c>
    </row>
    <row r="10">
      <c r="A10" t="inlineStr">
        <is>
          <t>Ending Balance</t>
        </is>
      </c>
      <c r="E10">
        <f>B9+C9-D9</f>
        <v/>
      </c>
      <c r="H10">
        <f>E9+F9-G9</f>
        <v/>
      </c>
      <c r="K10">
        <f>H9+I9-J9</f>
        <v/>
      </c>
      <c r="N10">
        <f>K9+L9-M9</f>
        <v/>
      </c>
      <c r="O10">
        <f>D9+G9+J9+M9</f>
        <v/>
      </c>
    </row>
    <row r="11">
      <c r="A11" t="inlineStr">
        <is>
          <t>Variance</t>
        </is>
      </c>
      <c r="O11">
        <f>O12-N12</f>
        <v/>
      </c>
    </row>
    <row r="12">
      <c r="A12" t="inlineStr">
        <is>
          <t>GL Balance</t>
        </is>
      </c>
      <c r="E12" t="n">
        <v>7500</v>
      </c>
      <c r="H12" t="n">
        <v>12500</v>
      </c>
      <c r="K12" t="n">
        <v>9250</v>
      </c>
      <c r="N12" t="n">
        <v>5000</v>
      </c>
      <c r="O12">
        <f>O9-O10</f>
        <v/>
      </c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Atlas Cloud Commerce</t>
        </is>
      </c>
    </row>
    <row r="2">
      <c r="A2" t="inlineStr">
        <is>
          <t>SMB Refund Reserve #2218 as of 11/30/2025</t>
        </is>
      </c>
    </row>
    <row r="3">
      <c r="A3" t="inlineStr">
        <is>
          <t>Refund reserve activity from August through November 2025</t>
        </is>
      </c>
    </row>
    <row r="4">
      <c r="A4" t="inlineStr">
        <is>
          <t>Customer</t>
        </is>
      </c>
      <c r="B4" t="inlineStr">
        <is>
          <t>Beginning Balance</t>
        </is>
      </c>
      <c r="C4" t="inlineStr">
        <is>
          <t>Aug</t>
        </is>
      </c>
      <c r="D4" t="inlineStr">
        <is>
          <t>Aug</t>
        </is>
      </c>
      <c r="E4" t="inlineStr">
        <is>
          <t>Aug</t>
        </is>
      </c>
      <c r="F4" t="inlineStr">
        <is>
          <t>Sep</t>
        </is>
      </c>
      <c r="G4" t="inlineStr">
        <is>
          <t>Sep</t>
        </is>
      </c>
      <c r="H4" t="inlineStr">
        <is>
          <t>Sep</t>
        </is>
      </c>
      <c r="I4" t="inlineStr">
        <is>
          <t>Oct</t>
        </is>
      </c>
      <c r="J4" t="inlineStr">
        <is>
          <t>Oct</t>
        </is>
      </c>
      <c r="K4" t="inlineStr">
        <is>
          <t>Oct</t>
        </is>
      </c>
      <c r="L4" t="inlineStr">
        <is>
          <t>Nov</t>
        </is>
      </c>
      <c r="M4" t="inlineStr">
        <is>
          <t>Nov</t>
        </is>
      </c>
      <c r="N4" t="inlineStr">
        <is>
          <t>Nov</t>
        </is>
      </c>
      <c r="O4" t="inlineStr">
        <is>
          <t>Reserve Months</t>
        </is>
      </c>
      <c r="P4" t="inlineStr">
        <is>
          <t>Notes</t>
        </is>
      </c>
      <c r="Q4" t="inlineStr">
        <is>
          <t>Reserve Account</t>
        </is>
      </c>
    </row>
    <row r="5">
      <c r="C5" t="inlineStr">
        <is>
          <t>Refund Accruals</t>
        </is>
      </c>
      <c r="D5" t="inlineStr">
        <is>
          <t>Credits Issued</t>
        </is>
      </c>
      <c r="E5" t="inlineStr">
        <is>
          <t>Ending Balance</t>
        </is>
      </c>
      <c r="F5" t="inlineStr">
        <is>
          <t>Refund Accruals</t>
        </is>
      </c>
      <c r="G5" t="inlineStr">
        <is>
          <t>Credits Issued</t>
        </is>
      </c>
      <c r="H5" t="inlineStr">
        <is>
          <t>Ending Balance</t>
        </is>
      </c>
      <c r="I5" t="inlineStr">
        <is>
          <t>Refund Accruals</t>
        </is>
      </c>
      <c r="J5" t="inlineStr">
        <is>
          <t>Credits Issued</t>
        </is>
      </c>
      <c r="K5" t="inlineStr">
        <is>
          <t>Ending Balance</t>
        </is>
      </c>
      <c r="L5" t="inlineStr">
        <is>
          <t>Refund Accruals</t>
        </is>
      </c>
      <c r="M5" t="inlineStr">
        <is>
          <t>Credits Issued</t>
        </is>
      </c>
      <c r="N5" t="inlineStr">
        <is>
          <t>Ending Balance</t>
        </is>
      </c>
    </row>
    <row r="6">
      <c r="A6" t="inlineStr">
        <is>
          <t>Delta Shops</t>
        </is>
      </c>
      <c r="B6" t="n">
        <v>0</v>
      </c>
      <c r="C6" t="n">
        <v>3000</v>
      </c>
      <c r="D6" t="n">
        <v>500</v>
      </c>
      <c r="E6" t="n">
        <v>2500</v>
      </c>
      <c r="F6" t="n">
        <v>0</v>
      </c>
      <c r="G6" t="n">
        <v>500</v>
      </c>
      <c r="H6" t="n">
        <v>2000</v>
      </c>
      <c r="I6" t="n">
        <v>1000</v>
      </c>
      <c r="J6" t="n">
        <v>750</v>
      </c>
      <c r="K6" t="n">
        <v>2250</v>
      </c>
      <c r="L6" t="n">
        <v>0</v>
      </c>
      <c r="M6" t="n">
        <v>750</v>
      </c>
      <c r="N6" t="n">
        <v>1500</v>
      </c>
      <c r="O6" t="n">
        <v>6</v>
      </c>
      <c r="P6" t="inlineStr">
        <is>
          <t>Storefront concessions</t>
        </is>
      </c>
      <c r="Q6" t="n">
        <v>2218</v>
      </c>
    </row>
    <row r="7">
      <c r="A7" t="inlineStr">
        <is>
          <t>Ember Apps</t>
        </is>
      </c>
      <c r="B7" t="n">
        <v>0</v>
      </c>
      <c r="C7" t="n">
        <v>0</v>
      </c>
      <c r="D7" t="n">
        <v>0</v>
      </c>
      <c r="E7" t="n">
        <v>0</v>
      </c>
      <c r="F7" t="n">
        <v>5000</v>
      </c>
      <c r="G7" t="n">
        <v>1250</v>
      </c>
      <c r="H7" t="n">
        <v>3750</v>
      </c>
      <c r="I7" t="n">
        <v>0</v>
      </c>
      <c r="J7" t="n">
        <v>1250</v>
      </c>
      <c r="K7" t="n">
        <v>2500</v>
      </c>
      <c r="L7" t="n">
        <v>0</v>
      </c>
      <c r="M7" t="n">
        <v>1250</v>
      </c>
      <c r="N7" t="n">
        <v>1250</v>
      </c>
      <c r="O7" t="n">
        <v>4</v>
      </c>
      <c r="P7" t="inlineStr">
        <is>
          <t>SMB launch credits</t>
        </is>
      </c>
      <c r="Q7" t="n">
        <v>2218</v>
      </c>
    </row>
    <row r="8">
      <c r="A8" t="inlineStr">
        <is>
          <t>Fable Services</t>
        </is>
      </c>
      <c r="B8" t="n">
        <v>0</v>
      </c>
      <c r="C8" t="n">
        <v>2000</v>
      </c>
      <c r="D8" t="n">
        <v>500</v>
      </c>
      <c r="E8" t="n">
        <v>1500</v>
      </c>
      <c r="F8" t="n">
        <v>0</v>
      </c>
      <c r="G8" t="n">
        <v>500</v>
      </c>
      <c r="H8" t="n">
        <v>1000</v>
      </c>
      <c r="I8" t="n">
        <v>0</v>
      </c>
      <c r="J8" t="n">
        <v>500</v>
      </c>
      <c r="K8" t="n">
        <v>500</v>
      </c>
      <c r="L8" t="n">
        <v>2000</v>
      </c>
      <c r="M8" t="n">
        <v>1000</v>
      </c>
      <c r="N8" t="n">
        <v>1500</v>
      </c>
      <c r="O8" t="n">
        <v>6</v>
      </c>
      <c r="P8" t="inlineStr">
        <is>
          <t>Support SLA reserve</t>
        </is>
      </c>
      <c r="Q8" t="n">
        <v>2218</v>
      </c>
    </row>
    <row r="9">
      <c r="A9" t="inlineStr">
        <is>
          <t>Period Totals</t>
        </is>
      </c>
      <c r="B9">
        <f>SUM(B6:B8)</f>
        <v/>
      </c>
      <c r="C9">
        <f>SUM(C6:C8)</f>
        <v/>
      </c>
      <c r="D9">
        <f>SUM(D6:D8)</f>
        <v/>
      </c>
      <c r="E9">
        <f>SUM(E6:E8)</f>
        <v/>
      </c>
      <c r="F9">
        <f>SUM(F6:F8)</f>
        <v/>
      </c>
      <c r="G9">
        <f>SUM(G6:G8)</f>
        <v/>
      </c>
      <c r="H9">
        <f>SUM(H6:H8)</f>
        <v/>
      </c>
      <c r="I9">
        <f>SUM(I6:I8)</f>
        <v/>
      </c>
      <c r="J9">
        <f>SUM(J6:J8)</f>
        <v/>
      </c>
      <c r="K9">
        <f>SUM(K6:K8)</f>
        <v/>
      </c>
      <c r="L9">
        <f>SUM(L6:L8)</f>
        <v/>
      </c>
      <c r="M9">
        <f>SUM(M6:M8)</f>
        <v/>
      </c>
      <c r="N9">
        <f>SUM(N6:N8)</f>
        <v/>
      </c>
      <c r="O9">
        <f>C9+F9+I9+L9</f>
        <v/>
      </c>
    </row>
    <row r="10">
      <c r="A10" t="inlineStr">
        <is>
          <t>Ending Balance</t>
        </is>
      </c>
      <c r="E10">
        <f>B9+C9-D9</f>
        <v/>
      </c>
      <c r="H10">
        <f>E9+F9-G9</f>
        <v/>
      </c>
      <c r="K10">
        <f>H9+I9-J9</f>
        <v/>
      </c>
      <c r="N10">
        <f>K9+L9-M9</f>
        <v/>
      </c>
      <c r="O10">
        <f>D9+G9+J9+M9</f>
        <v/>
      </c>
    </row>
    <row r="11">
      <c r="A11" t="inlineStr">
        <is>
          <t>Variance</t>
        </is>
      </c>
      <c r="O11">
        <f>O12-N12</f>
        <v/>
      </c>
    </row>
    <row r="12">
      <c r="A12" t="inlineStr">
        <is>
          <t>GL Balance</t>
        </is>
      </c>
      <c r="E12" t="n">
        <v>4000</v>
      </c>
      <c r="H12" t="n">
        <v>6750</v>
      </c>
      <c r="K12" t="n">
        <v>5250</v>
      </c>
      <c r="N12" t="n">
        <v>4250</v>
      </c>
      <c r="O12">
        <f>O9-O10</f>
        <v/>
      </c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2026-03-25T07:12:37Z</dcterms:created>
  <dcterms:modified xsi:type="dcterms:W3CDTF">2026-03-25T07:13:59Z</dcterms:modified>
</cp:coreProperties>
</file>