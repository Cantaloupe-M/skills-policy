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rred Summary" sheetId="1" state="visible" r:id="rId1"/>
    <sheet name="SaaS Rev #2300" sheetId="2" state="visible" r:id="rId2"/>
    <sheet name="Services Rev #23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LatticeWare</t>
        </is>
      </c>
    </row>
    <row r="2">
      <c r="A2" t="inlineStr">
        <is>
          <t>Deferred Revenue Summary</t>
        </is>
      </c>
    </row>
    <row r="3">
      <c r="A3" t="inlineStr">
        <is>
          <t>For the period ending 8/31/2025</t>
        </is>
      </c>
    </row>
    <row r="4"/>
    <row r="5">
      <c r="A5" t="inlineStr">
        <is>
          <t>Description</t>
        </is>
      </c>
      <c r="B5" t="inlineStr">
        <is>
          <t>Amount</t>
        </is>
      </c>
    </row>
    <row r="6">
      <c r="A6" t="inlineStr">
        <is>
          <t>SaaS Deferred Revenue (Acct 2300)</t>
        </is>
      </c>
    </row>
    <row r="7">
      <c r="A7" t="inlineStr">
        <is>
          <t>SaaS billings booked in period</t>
        </is>
      </c>
      <c r="B7">
        <f>'SaaS Rev #2300'!O10</f>
        <v/>
      </c>
    </row>
    <row r="8">
      <c r="A8" t="inlineStr">
        <is>
          <t>SaaS revenue recognized in period</t>
        </is>
      </c>
      <c r="B8">
        <f>'SaaS Rev #2300'!O11</f>
        <v/>
      </c>
    </row>
    <row r="9">
      <c r="A9" t="inlineStr">
        <is>
          <t>SaaS GL balance at 8/31/2025</t>
        </is>
      </c>
      <c r="B9">
        <f>'SaaS Rev #2300'!O13</f>
        <v/>
      </c>
    </row>
    <row r="10"/>
    <row r="11">
      <c r="A11" t="inlineStr">
        <is>
          <t>Services Deferred Revenue (Acct 2310)</t>
        </is>
      </c>
    </row>
    <row r="12">
      <c r="A12" t="inlineStr">
        <is>
          <t>Services billings booked in period</t>
        </is>
      </c>
      <c r="B12">
        <f>'Services Rev #2310'!O10</f>
        <v/>
      </c>
    </row>
    <row r="13">
      <c r="A13" t="inlineStr">
        <is>
          <t>Services revenue recognized in period</t>
        </is>
      </c>
      <c r="B13">
        <f>'Services Rev #2310'!O11</f>
        <v/>
      </c>
    </row>
    <row r="14">
      <c r="A14" t="inlineStr">
        <is>
          <t>Services GL balance at 8/31/2025</t>
        </is>
      </c>
      <c r="B14">
        <f>'Services Rev #2310'!O13</f>
        <v/>
      </c>
    </row>
    <row r="15"/>
    <row r="16">
      <c r="A16" t="inlineStr">
        <is>
          <t>Total deferred revenue balance at 8/31/2025</t>
        </is>
      </c>
      <c r="B16">
        <f>B9+B14</f>
        <v/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LatticeWare</t>
        </is>
      </c>
    </row>
    <row r="2">
      <c r="A2" t="inlineStr">
        <is>
          <t>SaaS Deferred Revenue #2300 as of 8/31/2025</t>
        </is>
      </c>
    </row>
    <row r="3">
      <c r="A3" t="inlineStr">
        <is>
          <t>Deferred revenue activity from May through August 2025</t>
        </is>
      </c>
    </row>
    <row r="4">
      <c r="A4" t="inlineStr">
        <is>
          <t>Customer</t>
        </is>
      </c>
      <c r="B4" t="inlineStr">
        <is>
          <t>Beginning Balance</t>
        </is>
      </c>
      <c r="C4" t="inlineStr">
        <is>
          <t>May</t>
        </is>
      </c>
      <c r="D4" t="inlineStr">
        <is>
          <t>May</t>
        </is>
      </c>
      <c r="E4" t="inlineStr">
        <is>
          <t>May</t>
        </is>
      </c>
      <c r="F4" t="inlineStr">
        <is>
          <t>Jun</t>
        </is>
      </c>
      <c r="G4" t="inlineStr">
        <is>
          <t>Jun</t>
        </is>
      </c>
      <c r="H4" t="inlineStr">
        <is>
          <t>Jun</t>
        </is>
      </c>
      <c r="I4" t="inlineStr">
        <is>
          <t>Jul</t>
        </is>
      </c>
      <c r="J4" t="inlineStr">
        <is>
          <t>Jul</t>
        </is>
      </c>
      <c r="K4" t="inlineStr">
        <is>
          <t>Jul</t>
        </is>
      </c>
      <c r="L4" t="inlineStr">
        <is>
          <t>Aug</t>
        </is>
      </c>
      <c r="M4" t="inlineStr">
        <is>
          <t>Aug</t>
        </is>
      </c>
      <c r="N4" t="inlineStr">
        <is>
          <t>Aug</t>
        </is>
      </c>
      <c r="O4" t="inlineStr">
        <is>
          <t>Contract Months</t>
        </is>
      </c>
      <c r="P4" t="inlineStr">
        <is>
          <t>Notes</t>
        </is>
      </c>
      <c r="Q4" t="inlineStr">
        <is>
          <t>Revenue Code</t>
        </is>
      </c>
    </row>
    <row r="5">
      <c r="C5" t="inlineStr">
        <is>
          <t>Billings</t>
        </is>
      </c>
      <c r="D5" t="inlineStr">
        <is>
          <t>Recognition</t>
        </is>
      </c>
      <c r="E5" t="inlineStr">
        <is>
          <t>Ending Balance</t>
        </is>
      </c>
      <c r="F5" t="inlineStr">
        <is>
          <t>Billings</t>
        </is>
      </c>
      <c r="G5" t="inlineStr">
        <is>
          <t>Recognition</t>
        </is>
      </c>
      <c r="H5" t="inlineStr">
        <is>
          <t>Ending Balance</t>
        </is>
      </c>
      <c r="I5" t="inlineStr">
        <is>
          <t>Billings</t>
        </is>
      </c>
      <c r="J5" t="inlineStr">
        <is>
          <t>Recognition</t>
        </is>
      </c>
      <c r="K5" t="inlineStr">
        <is>
          <t>Ending Balance</t>
        </is>
      </c>
      <c r="L5" t="inlineStr">
        <is>
          <t>Billings</t>
        </is>
      </c>
      <c r="M5" t="inlineStr">
        <is>
          <t>Recognition</t>
        </is>
      </c>
      <c r="N5" t="inlineStr">
        <is>
          <t>Ending Balance</t>
        </is>
      </c>
    </row>
    <row r="6">
      <c r="A6" t="inlineStr">
        <is>
          <t>Atlas Support</t>
        </is>
      </c>
      <c r="B6" t="n">
        <v>0</v>
      </c>
      <c r="C6" t="n">
        <v>48000</v>
      </c>
      <c r="D6" t="n">
        <v>12000</v>
      </c>
      <c r="E6" t="n">
        <v>36000</v>
      </c>
      <c r="F6" t="n">
        <v>12000</v>
      </c>
      <c r="G6" t="n">
        <v>12000</v>
      </c>
      <c r="H6" t="n">
        <v>36000</v>
      </c>
      <c r="I6" t="n">
        <v>0</v>
      </c>
      <c r="J6" t="n">
        <v>12000</v>
      </c>
      <c r="K6" t="n">
        <v>24000</v>
      </c>
      <c r="L6" t="n">
        <v>8000</v>
      </c>
      <c r="M6" t="n">
        <v>12000</v>
      </c>
      <c r="N6" t="n">
        <v>20000</v>
      </c>
      <c r="O6" t="n">
        <v>12</v>
      </c>
      <c r="P6" t="inlineStr">
        <is>
          <t>Annual SaaS contract</t>
        </is>
      </c>
      <c r="Q6" t="n">
        <v>2300</v>
      </c>
    </row>
    <row r="7">
      <c r="A7" t="inlineStr">
        <is>
          <t>Birch Cloud</t>
        </is>
      </c>
      <c r="B7" t="n">
        <v>0</v>
      </c>
      <c r="C7" t="n">
        <v>36000</v>
      </c>
      <c r="D7" t="n">
        <v>9000</v>
      </c>
      <c r="E7" t="n">
        <v>27000</v>
      </c>
      <c r="F7" t="n">
        <v>0</v>
      </c>
      <c r="G7" t="n">
        <v>9000</v>
      </c>
      <c r="H7" t="n">
        <v>18000</v>
      </c>
      <c r="I7" t="n">
        <v>9000</v>
      </c>
      <c r="J7" t="n">
        <v>9000</v>
      </c>
      <c r="K7" t="n">
        <v>18000</v>
      </c>
      <c r="L7" t="n">
        <v>0</v>
      </c>
      <c r="M7" t="n">
        <v>9000</v>
      </c>
      <c r="N7" t="n">
        <v>9000</v>
      </c>
      <c r="O7" t="n">
        <v>12</v>
      </c>
      <c r="P7" t="inlineStr">
        <is>
          <t>Mid-market renewal</t>
        </is>
      </c>
      <c r="Q7" t="n">
        <v>2300</v>
      </c>
    </row>
    <row r="8">
      <c r="A8" t="inlineStr">
        <is>
          <t>Comet Analytics</t>
        </is>
      </c>
      <c r="B8" t="n">
        <v>0</v>
      </c>
      <c r="C8" t="n">
        <v>24000</v>
      </c>
      <c r="D8" t="n">
        <v>6000</v>
      </c>
      <c r="E8" t="n">
        <v>18000</v>
      </c>
      <c r="F8" t="n">
        <v>0</v>
      </c>
      <c r="G8" t="n">
        <v>6000</v>
      </c>
      <c r="H8" t="n">
        <v>12000</v>
      </c>
      <c r="I8" t="n">
        <v>0</v>
      </c>
      <c r="J8" t="n">
        <v>6000</v>
      </c>
      <c r="K8" t="n">
        <v>6000</v>
      </c>
      <c r="L8" t="n">
        <v>0</v>
      </c>
      <c r="M8" t="n">
        <v>6000</v>
      </c>
      <c r="N8" t="n">
        <v>0</v>
      </c>
      <c r="O8" t="n">
        <v>12</v>
      </c>
      <c r="P8" t="inlineStr">
        <is>
          <t>Analytics platform</t>
        </is>
      </c>
      <c r="Q8" t="n">
        <v>2300</v>
      </c>
    </row>
    <row r="9">
      <c r="A9" t="inlineStr">
        <is>
          <t>Delta Retail</t>
        </is>
      </c>
      <c r="B9" t="n">
        <v>0</v>
      </c>
      <c r="C9" t="n">
        <v>0</v>
      </c>
      <c r="D9" t="n">
        <v>0</v>
      </c>
      <c r="E9" t="n">
        <v>0</v>
      </c>
      <c r="F9" t="n">
        <v>30000</v>
      </c>
      <c r="G9" t="n">
        <v>7500</v>
      </c>
      <c r="H9" t="n">
        <v>22500</v>
      </c>
      <c r="I9" t="n">
        <v>0</v>
      </c>
      <c r="J9" t="n">
        <v>7500</v>
      </c>
      <c r="K9" t="n">
        <v>15000</v>
      </c>
      <c r="L9" t="n">
        <v>0</v>
      </c>
      <c r="M9" t="n">
        <v>7500</v>
      </c>
      <c r="N9" t="n">
        <v>7500</v>
      </c>
      <c r="O9" t="n">
        <v>12</v>
      </c>
      <c r="P9" t="inlineStr">
        <is>
          <t>Late-start subscription</t>
        </is>
      </c>
      <c r="Q9" t="n">
        <v>2300</v>
      </c>
    </row>
    <row r="10">
      <c r="A10" t="inlineStr">
        <is>
          <t>Period Totals</t>
        </is>
      </c>
      <c r="B10">
        <f>SUM(B6:B9)</f>
        <v/>
      </c>
      <c r="C10">
        <f>SUM(C6:C9)</f>
        <v/>
      </c>
      <c r="D10">
        <f>SUM(D6:D9)</f>
        <v/>
      </c>
      <c r="E10">
        <f>SUM(E6:E9)</f>
        <v/>
      </c>
      <c r="F10">
        <f>SUM(F6:F9)</f>
        <v/>
      </c>
      <c r="G10">
        <f>SUM(G6:G9)</f>
        <v/>
      </c>
      <c r="H10">
        <f>SUM(H6:H9)</f>
        <v/>
      </c>
      <c r="I10">
        <f>SUM(I6:I9)</f>
        <v/>
      </c>
      <c r="J10">
        <f>SUM(J6:J9)</f>
        <v/>
      </c>
      <c r="K10">
        <f>SUM(K6:K9)</f>
        <v/>
      </c>
      <c r="L10">
        <f>SUM(L6:L9)</f>
        <v/>
      </c>
      <c r="M10">
        <f>SUM(M6:M9)</f>
        <v/>
      </c>
      <c r="N10">
        <f>SUM(N6:N9)</f>
        <v/>
      </c>
      <c r="O10">
        <f>C10+F10+I10+L10</f>
        <v/>
      </c>
    </row>
    <row r="11">
      <c r="A11" t="inlineStr">
        <is>
          <t>Ending Balance</t>
        </is>
      </c>
      <c r="E11">
        <f>B10+C10-D10</f>
        <v/>
      </c>
      <c r="H11">
        <f>E10+F10-G10</f>
        <v/>
      </c>
      <c r="K11">
        <f>H10+I10-J10</f>
        <v/>
      </c>
      <c r="N11">
        <f>K10+L10-M10</f>
        <v/>
      </c>
      <c r="O11">
        <f>D10+G10+J10+M10</f>
        <v/>
      </c>
    </row>
    <row r="12">
      <c r="A12" t="inlineStr">
        <is>
          <t>Variance</t>
        </is>
      </c>
      <c r="O12">
        <f>O13-N13</f>
        <v/>
      </c>
    </row>
    <row r="13">
      <c r="A13" t="inlineStr">
        <is>
          <t>GL Balance</t>
        </is>
      </c>
      <c r="E13" t="n">
        <v>81000</v>
      </c>
      <c r="H13" t="n">
        <v>88500</v>
      </c>
      <c r="K13" t="n">
        <v>63000</v>
      </c>
      <c r="N13" t="n">
        <v>36500</v>
      </c>
      <c r="O13">
        <f>O10-O11</f>
        <v/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LatticeWare</t>
        </is>
      </c>
    </row>
    <row r="2">
      <c r="A2" t="inlineStr">
        <is>
          <t>Services Deferred Revenue #2310 as of 8/31/2025</t>
        </is>
      </c>
    </row>
    <row r="3">
      <c r="A3" t="inlineStr">
        <is>
          <t>Deferred revenue activity from May through August 2025</t>
        </is>
      </c>
    </row>
    <row r="4">
      <c r="A4" t="inlineStr">
        <is>
          <t>Customer</t>
        </is>
      </c>
      <c r="B4" t="inlineStr">
        <is>
          <t>Beginning Balance</t>
        </is>
      </c>
      <c r="C4" t="inlineStr">
        <is>
          <t>May</t>
        </is>
      </c>
      <c r="D4" t="inlineStr">
        <is>
          <t>May</t>
        </is>
      </c>
      <c r="E4" t="inlineStr">
        <is>
          <t>May</t>
        </is>
      </c>
      <c r="F4" t="inlineStr">
        <is>
          <t>Jun</t>
        </is>
      </c>
      <c r="G4" t="inlineStr">
        <is>
          <t>Jun</t>
        </is>
      </c>
      <c r="H4" t="inlineStr">
        <is>
          <t>Jun</t>
        </is>
      </c>
      <c r="I4" t="inlineStr">
        <is>
          <t>Jul</t>
        </is>
      </c>
      <c r="J4" t="inlineStr">
        <is>
          <t>Jul</t>
        </is>
      </c>
      <c r="K4" t="inlineStr">
        <is>
          <t>Jul</t>
        </is>
      </c>
      <c r="L4" t="inlineStr">
        <is>
          <t>Aug</t>
        </is>
      </c>
      <c r="M4" t="inlineStr">
        <is>
          <t>Aug</t>
        </is>
      </c>
      <c r="N4" t="inlineStr">
        <is>
          <t>Aug</t>
        </is>
      </c>
      <c r="O4" t="inlineStr">
        <is>
          <t>Contract Months</t>
        </is>
      </c>
      <c r="P4" t="inlineStr">
        <is>
          <t>Notes</t>
        </is>
      </c>
      <c r="Q4" t="inlineStr">
        <is>
          <t>Revenue Code</t>
        </is>
      </c>
    </row>
    <row r="5">
      <c r="C5" t="inlineStr">
        <is>
          <t>Billings</t>
        </is>
      </c>
      <c r="D5" t="inlineStr">
        <is>
          <t>Recognition</t>
        </is>
      </c>
      <c r="E5" t="inlineStr">
        <is>
          <t>Ending Balance</t>
        </is>
      </c>
      <c r="F5" t="inlineStr">
        <is>
          <t>Billings</t>
        </is>
      </c>
      <c r="G5" t="inlineStr">
        <is>
          <t>Recognition</t>
        </is>
      </c>
      <c r="H5" t="inlineStr">
        <is>
          <t>Ending Balance</t>
        </is>
      </c>
      <c r="I5" t="inlineStr">
        <is>
          <t>Billings</t>
        </is>
      </c>
      <c r="J5" t="inlineStr">
        <is>
          <t>Recognition</t>
        </is>
      </c>
      <c r="K5" t="inlineStr">
        <is>
          <t>Ending Balance</t>
        </is>
      </c>
      <c r="L5" t="inlineStr">
        <is>
          <t>Billings</t>
        </is>
      </c>
      <c r="M5" t="inlineStr">
        <is>
          <t>Recognition</t>
        </is>
      </c>
      <c r="N5" t="inlineStr">
        <is>
          <t>Ending Balance</t>
        </is>
      </c>
    </row>
    <row r="6">
      <c r="A6" t="inlineStr">
        <is>
          <t>Elm Advisory</t>
        </is>
      </c>
      <c r="B6" t="n">
        <v>0</v>
      </c>
      <c r="C6" t="n">
        <v>15000</v>
      </c>
      <c r="D6" t="n">
        <v>5000</v>
      </c>
      <c r="E6" t="n">
        <v>10000</v>
      </c>
      <c r="F6" t="n">
        <v>0</v>
      </c>
      <c r="G6" t="n">
        <v>5000</v>
      </c>
      <c r="H6" t="n">
        <v>5000</v>
      </c>
      <c r="I6" t="n">
        <v>0</v>
      </c>
      <c r="J6" t="n">
        <v>5000</v>
      </c>
      <c r="K6" t="n">
        <v>0</v>
      </c>
      <c r="L6" t="n">
        <v>5000</v>
      </c>
      <c r="M6" t="n">
        <v>5000</v>
      </c>
      <c r="N6" t="n">
        <v>0</v>
      </c>
      <c r="O6" t="n">
        <v>4</v>
      </c>
      <c r="P6" t="inlineStr">
        <is>
          <t>Quarterly enablement</t>
        </is>
      </c>
      <c r="Q6" t="n">
        <v>2310</v>
      </c>
    </row>
    <row r="7">
      <c r="A7" t="inlineStr">
        <is>
          <t>Foundry Launch</t>
        </is>
      </c>
      <c r="B7" t="n">
        <v>0</v>
      </c>
      <c r="C7" t="n">
        <v>0</v>
      </c>
      <c r="D7" t="n">
        <v>0</v>
      </c>
      <c r="E7" t="n">
        <v>0</v>
      </c>
      <c r="F7" t="n">
        <v>18000</v>
      </c>
      <c r="G7" t="n">
        <v>6000</v>
      </c>
      <c r="H7" t="n">
        <v>12000</v>
      </c>
      <c r="I7" t="n">
        <v>0</v>
      </c>
      <c r="J7" t="n">
        <v>6000</v>
      </c>
      <c r="K7" t="n">
        <v>6000</v>
      </c>
      <c r="L7" t="n">
        <v>0</v>
      </c>
      <c r="M7" t="n">
        <v>6000</v>
      </c>
      <c r="N7" t="n">
        <v>0</v>
      </c>
      <c r="O7" t="n">
        <v>3</v>
      </c>
      <c r="P7" t="inlineStr">
        <is>
          <t>Implementation kickoff</t>
        </is>
      </c>
      <c r="Q7" t="n">
        <v>2310</v>
      </c>
    </row>
    <row r="8">
      <c r="A8" t="inlineStr">
        <is>
          <t>Grove Migration</t>
        </is>
      </c>
      <c r="B8" t="n">
        <v>0</v>
      </c>
      <c r="C8" t="n">
        <v>9000</v>
      </c>
      <c r="D8" t="n">
        <v>2250</v>
      </c>
      <c r="E8" t="n">
        <v>6750</v>
      </c>
      <c r="F8" t="n">
        <v>0</v>
      </c>
      <c r="G8" t="n">
        <v>2250</v>
      </c>
      <c r="H8" t="n">
        <v>4500</v>
      </c>
      <c r="I8" t="n">
        <v>0</v>
      </c>
      <c r="J8" t="n">
        <v>2250</v>
      </c>
      <c r="K8" t="n">
        <v>2250</v>
      </c>
      <c r="L8" t="n">
        <v>0</v>
      </c>
      <c r="M8" t="n">
        <v>2250</v>
      </c>
      <c r="N8" t="n">
        <v>0</v>
      </c>
      <c r="O8" t="n">
        <v>4</v>
      </c>
      <c r="P8" t="inlineStr">
        <is>
          <t>Migration bundle</t>
        </is>
      </c>
      <c r="Q8" t="n">
        <v>2310</v>
      </c>
    </row>
    <row r="9">
      <c r="A9" t="inlineStr">
        <is>
          <t>Harbor Ops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12000</v>
      </c>
      <c r="J9" t="n">
        <v>4000</v>
      </c>
      <c r="K9" t="n">
        <v>8000</v>
      </c>
      <c r="L9" t="n">
        <v>0</v>
      </c>
      <c r="M9" t="n">
        <v>4000</v>
      </c>
      <c r="N9" t="n">
        <v>4000</v>
      </c>
      <c r="O9" t="n">
        <v>3</v>
      </c>
      <c r="P9" t="inlineStr">
        <is>
          <t>Go-live support</t>
        </is>
      </c>
      <c r="Q9" t="n">
        <v>2310</v>
      </c>
    </row>
    <row r="10">
      <c r="A10" t="inlineStr">
        <is>
          <t>Period Totals</t>
        </is>
      </c>
      <c r="B10">
        <f>SUM(B6:B9)</f>
        <v/>
      </c>
      <c r="C10">
        <f>SUM(C6:C9)</f>
        <v/>
      </c>
      <c r="D10">
        <f>SUM(D6:D9)</f>
        <v/>
      </c>
      <c r="E10">
        <f>SUM(E6:E9)</f>
        <v/>
      </c>
      <c r="F10">
        <f>SUM(F6:F9)</f>
        <v/>
      </c>
      <c r="G10">
        <f>SUM(G6:G9)</f>
        <v/>
      </c>
      <c r="H10">
        <f>SUM(H6:H9)</f>
        <v/>
      </c>
      <c r="I10">
        <f>SUM(I6:I9)</f>
        <v/>
      </c>
      <c r="J10">
        <f>SUM(J6:J9)</f>
        <v/>
      </c>
      <c r="K10">
        <f>SUM(K6:K9)</f>
        <v/>
      </c>
      <c r="L10">
        <f>SUM(L6:L9)</f>
        <v/>
      </c>
      <c r="M10">
        <f>SUM(M6:M9)</f>
        <v/>
      </c>
      <c r="N10">
        <f>SUM(N6:N9)</f>
        <v/>
      </c>
      <c r="O10">
        <f>C10+F10+I10+L10</f>
        <v/>
      </c>
    </row>
    <row r="11">
      <c r="A11" t="inlineStr">
        <is>
          <t>Ending Balance</t>
        </is>
      </c>
      <c r="E11">
        <f>B10+C10-D10</f>
        <v/>
      </c>
      <c r="H11">
        <f>E10+F10-G10</f>
        <v/>
      </c>
      <c r="K11">
        <f>H10+I10-J10</f>
        <v/>
      </c>
      <c r="N11">
        <f>K10+L10-M10</f>
        <v/>
      </c>
      <c r="O11">
        <f>D10+G10+J10+M10</f>
        <v/>
      </c>
    </row>
    <row r="12">
      <c r="A12" t="inlineStr">
        <is>
          <t>Variance</t>
        </is>
      </c>
      <c r="O12">
        <f>O13-N13</f>
        <v/>
      </c>
    </row>
    <row r="13">
      <c r="A13" t="inlineStr">
        <is>
          <t>GL Balance</t>
        </is>
      </c>
      <c r="E13" t="n">
        <v>16750</v>
      </c>
      <c r="H13" t="n">
        <v>21500</v>
      </c>
      <c r="K13" t="n">
        <v>16250</v>
      </c>
      <c r="N13" t="n">
        <v>4000</v>
      </c>
      <c r="O13">
        <f>O10-O11</f>
        <v/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2026-03-25T07:13:58Z</dcterms:created>
  <dcterms:modified xsi:type="dcterms:W3CDTF">2026-03-25T07:13:58Z</dcterms:modified>
</cp:coreProperties>
</file>