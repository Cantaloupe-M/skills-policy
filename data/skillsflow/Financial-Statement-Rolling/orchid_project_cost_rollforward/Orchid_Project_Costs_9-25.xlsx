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Cost Summary" sheetId="1" state="visible" r:id="rId1"/>
    <sheet name="Cap Impl #1460" sheetId="2" state="visible" r:id="rId2"/>
    <sheet name="Leasehold #146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Orchid Health Systems</t>
        </is>
      </c>
    </row>
    <row r="2">
      <c r="A2" t="inlineStr">
        <is>
          <t>Project Cost Rollforward Summary</t>
        </is>
      </c>
    </row>
    <row r="3">
      <c r="A3" t="inlineStr">
        <is>
          <t>For the period ending 9/30/2025</t>
        </is>
      </c>
    </row>
    <row r="4"/>
    <row r="5">
      <c r="A5" t="inlineStr">
        <is>
          <t>Description</t>
        </is>
      </c>
      <c r="B5" t="inlineStr">
        <is>
          <t>Amount</t>
        </is>
      </c>
    </row>
    <row r="6">
      <c r="A6" t="inlineStr">
        <is>
          <t>Capitalized Implementation Costs (Acct 1460)</t>
        </is>
      </c>
    </row>
    <row r="7">
      <c r="A7" t="inlineStr">
        <is>
          <t>Capitalized adds booked in period</t>
        </is>
      </c>
      <c r="B7">
        <f>'Cap Impl #1460'!O10</f>
        <v/>
      </c>
    </row>
    <row r="8">
      <c r="A8" t="inlineStr">
        <is>
          <t>Amortization booked in period</t>
        </is>
      </c>
      <c r="B8">
        <f>'Cap Impl #1460'!O11</f>
        <v/>
      </c>
    </row>
    <row r="9">
      <c r="A9" t="inlineStr">
        <is>
          <t>Implementation GL balance at 9/30/2025</t>
        </is>
      </c>
      <c r="B9">
        <f>'Cap Impl #1460'!O13</f>
        <v/>
      </c>
    </row>
    <row r="10"/>
    <row r="11">
      <c r="A11" t="inlineStr">
        <is>
          <t>Leasehold Improvements (Acct 1465)</t>
        </is>
      </c>
    </row>
    <row r="12">
      <c r="A12" t="inlineStr">
        <is>
          <t>Leasehold adds booked in period</t>
        </is>
      </c>
      <c r="B12">
        <f>'Leasehold #1465'!O9</f>
        <v/>
      </c>
    </row>
    <row r="13">
      <c r="A13" t="inlineStr">
        <is>
          <t>Leasehold amortization in period</t>
        </is>
      </c>
      <c r="B13">
        <f>'Leasehold #1465'!O10</f>
        <v/>
      </c>
    </row>
    <row r="14">
      <c r="A14" t="inlineStr">
        <is>
          <t>Leasehold GL balance at 9/30/2025</t>
        </is>
      </c>
      <c r="B14">
        <f>'Leasehold #1465'!O12</f>
        <v/>
      </c>
    </row>
    <row r="15"/>
    <row r="16">
      <c r="A16" t="inlineStr">
        <is>
          <t>Total project cost balance at 9/30/2025</t>
        </is>
      </c>
      <c r="B16">
        <f>B9+B14</f>
        <v/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Orchid Health Systems</t>
        </is>
      </c>
    </row>
    <row r="2">
      <c r="A2" t="inlineStr">
        <is>
          <t>Capitalized Implementation Costs #1460 as of 9/30/2025</t>
        </is>
      </c>
    </row>
    <row r="3">
      <c r="A3" t="inlineStr">
        <is>
          <t>Project cost activity from June through September 2025</t>
        </is>
      </c>
    </row>
    <row r="4">
      <c r="A4" t="inlineStr">
        <is>
          <t>Vendor</t>
        </is>
      </c>
      <c r="B4" t="inlineStr">
        <is>
          <t>Beginning Balance</t>
        </is>
      </c>
      <c r="C4" t="inlineStr">
        <is>
          <t>Jun</t>
        </is>
      </c>
      <c r="D4" t="inlineStr">
        <is>
          <t>Jun</t>
        </is>
      </c>
      <c r="E4" t="inlineStr">
        <is>
          <t>Jun</t>
        </is>
      </c>
      <c r="F4" t="inlineStr">
        <is>
          <t>Jul</t>
        </is>
      </c>
      <c r="G4" t="inlineStr">
        <is>
          <t>Jul</t>
        </is>
      </c>
      <c r="H4" t="inlineStr">
        <is>
          <t>Jul</t>
        </is>
      </c>
      <c r="I4" t="inlineStr">
        <is>
          <t>Aug</t>
        </is>
      </c>
      <c r="J4" t="inlineStr">
        <is>
          <t>Aug</t>
        </is>
      </c>
      <c r="K4" t="inlineStr">
        <is>
          <t>Aug</t>
        </is>
      </c>
      <c r="L4" t="inlineStr">
        <is>
          <t>Sep</t>
        </is>
      </c>
      <c r="M4" t="inlineStr">
        <is>
          <t>Sep</t>
        </is>
      </c>
      <c r="N4" t="inlineStr">
        <is>
          <t>Sep</t>
        </is>
      </c>
      <c r="O4" t="inlineStr">
        <is>
          <t>Useful Life Months</t>
        </is>
      </c>
      <c r="P4" t="inlineStr">
        <is>
          <t>Notes</t>
        </is>
      </c>
      <c r="Q4" t="inlineStr">
        <is>
          <t>Source Account</t>
        </is>
      </c>
    </row>
    <row r="5">
      <c r="C5" t="inlineStr">
        <is>
          <t>Cap Adds</t>
        </is>
      </c>
      <c r="D5" t="inlineStr">
        <is>
          <t>Amortization</t>
        </is>
      </c>
      <c r="E5" t="inlineStr">
        <is>
          <t>Ending Balance</t>
        </is>
      </c>
      <c r="F5" t="inlineStr">
        <is>
          <t>Cap Adds</t>
        </is>
      </c>
      <c r="G5" t="inlineStr">
        <is>
          <t>Amortization</t>
        </is>
      </c>
      <c r="H5" t="inlineStr">
        <is>
          <t>Ending Balance</t>
        </is>
      </c>
      <c r="I5" t="inlineStr">
        <is>
          <t>Cap Adds</t>
        </is>
      </c>
      <c r="J5" t="inlineStr">
        <is>
          <t>Amortization</t>
        </is>
      </c>
      <c r="K5" t="inlineStr">
        <is>
          <t>Ending Balance</t>
        </is>
      </c>
      <c r="L5" t="inlineStr">
        <is>
          <t>Cap Adds</t>
        </is>
      </c>
      <c r="M5" t="inlineStr">
        <is>
          <t>Amortization</t>
        </is>
      </c>
      <c r="N5" t="inlineStr">
        <is>
          <t>Ending Balance</t>
        </is>
      </c>
    </row>
    <row r="6">
      <c r="A6" t="inlineStr">
        <is>
          <t>Aether Consulting</t>
        </is>
      </c>
      <c r="B6" t="n">
        <v>0</v>
      </c>
      <c r="C6" t="n">
        <v>22000</v>
      </c>
      <c r="D6" t="n">
        <v>2750</v>
      </c>
      <c r="E6" t="n">
        <v>19250</v>
      </c>
      <c r="F6" t="n">
        <v>0</v>
      </c>
      <c r="G6" t="n">
        <v>2750</v>
      </c>
      <c r="H6" t="n">
        <v>16500</v>
      </c>
      <c r="I6" t="n">
        <v>0</v>
      </c>
      <c r="J6" t="n">
        <v>2750</v>
      </c>
      <c r="K6" t="n">
        <v>13750</v>
      </c>
      <c r="L6" t="n">
        <v>0</v>
      </c>
      <c r="M6" t="n">
        <v>2750</v>
      </c>
      <c r="N6" t="n">
        <v>11000</v>
      </c>
      <c r="O6" t="n">
        <v>8</v>
      </c>
      <c r="P6" t="inlineStr">
        <is>
          <t>ERP implementation wave 2</t>
        </is>
      </c>
      <c r="Q6" t="n">
        <v>1460</v>
      </c>
    </row>
    <row r="7">
      <c r="A7" t="inlineStr">
        <is>
          <t>Beacon QA</t>
        </is>
      </c>
      <c r="B7" t="n">
        <v>0</v>
      </c>
      <c r="C7" t="n">
        <v>0</v>
      </c>
      <c r="D7" t="n">
        <v>0</v>
      </c>
      <c r="E7" t="n">
        <v>0</v>
      </c>
      <c r="F7" t="n">
        <v>12000</v>
      </c>
      <c r="G7" t="n">
        <v>3000</v>
      </c>
      <c r="H7" t="n">
        <v>9000</v>
      </c>
      <c r="I7" t="n">
        <v>0</v>
      </c>
      <c r="J7" t="n">
        <v>3000</v>
      </c>
      <c r="K7" t="n">
        <v>6000</v>
      </c>
      <c r="L7" t="n">
        <v>0</v>
      </c>
      <c r="M7" t="n">
        <v>3000</v>
      </c>
      <c r="N7" t="n">
        <v>3000</v>
      </c>
      <c r="O7" t="n">
        <v>4</v>
      </c>
      <c r="P7" t="inlineStr">
        <is>
          <t>Testing expansion</t>
        </is>
      </c>
      <c r="Q7" t="n">
        <v>1460</v>
      </c>
    </row>
    <row r="8">
      <c r="A8" t="inlineStr">
        <is>
          <t>Cinder Data</t>
        </is>
      </c>
      <c r="B8" t="n">
        <v>0</v>
      </c>
      <c r="C8" t="n">
        <v>15000</v>
      </c>
      <c r="D8" t="n">
        <v>1875</v>
      </c>
      <c r="E8" t="n">
        <v>13125</v>
      </c>
      <c r="F8" t="n">
        <v>4500</v>
      </c>
      <c r="G8" t="n">
        <v>2250</v>
      </c>
      <c r="H8" t="n">
        <v>15375</v>
      </c>
      <c r="I8" t="n">
        <v>0</v>
      </c>
      <c r="J8" t="n">
        <v>2250</v>
      </c>
      <c r="K8" t="n">
        <v>13125</v>
      </c>
      <c r="L8" t="n">
        <v>0</v>
      </c>
      <c r="M8" t="n">
        <v>2250</v>
      </c>
      <c r="N8" t="n">
        <v>10875</v>
      </c>
      <c r="O8" t="n">
        <v>8</v>
      </c>
      <c r="P8" t="inlineStr">
        <is>
          <t>Change order approved</t>
        </is>
      </c>
      <c r="Q8" t="n">
        <v>1460</v>
      </c>
    </row>
    <row r="9">
      <c r="A9" t="inlineStr">
        <is>
          <t>Delta Mapping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10000</v>
      </c>
      <c r="J9" t="n">
        <v>2500</v>
      </c>
      <c r="K9" t="n">
        <v>7500</v>
      </c>
      <c r="L9" t="n">
        <v>0</v>
      </c>
      <c r="M9" t="n">
        <v>2500</v>
      </c>
      <c r="N9" t="n">
        <v>5000</v>
      </c>
      <c r="O9" t="n">
        <v>4</v>
      </c>
      <c r="P9" t="inlineStr">
        <is>
          <t>Warehouse mapping</t>
        </is>
      </c>
      <c r="Q9" t="n">
        <v>1460</v>
      </c>
    </row>
    <row r="10">
      <c r="A10" t="inlineStr">
        <is>
          <t>Period Totals</t>
        </is>
      </c>
      <c r="B10">
        <f>SUM(B6:B9)</f>
        <v/>
      </c>
      <c r="C10">
        <f>SUM(C6:C9)</f>
        <v/>
      </c>
      <c r="D10">
        <f>SUM(D6:D9)</f>
        <v/>
      </c>
      <c r="E10">
        <f>SUM(E6:E9)</f>
        <v/>
      </c>
      <c r="F10">
        <f>SUM(F6:F9)</f>
        <v/>
      </c>
      <c r="G10">
        <f>SUM(G6:G9)</f>
        <v/>
      </c>
      <c r="H10">
        <f>SUM(H6:H9)</f>
        <v/>
      </c>
      <c r="I10">
        <f>SUM(I6:I9)</f>
        <v/>
      </c>
      <c r="J10">
        <f>SUM(J6:J9)</f>
        <v/>
      </c>
      <c r="K10">
        <f>SUM(K6:K9)</f>
        <v/>
      </c>
      <c r="L10">
        <f>SUM(L6:L9)</f>
        <v/>
      </c>
      <c r="M10">
        <f>SUM(M6:M9)</f>
        <v/>
      </c>
      <c r="N10">
        <f>SUM(N6:N9)</f>
        <v/>
      </c>
      <c r="O10">
        <f>C10+F10+I10+L10</f>
        <v/>
      </c>
    </row>
    <row r="11">
      <c r="A11" t="inlineStr">
        <is>
          <t>Ending Balance</t>
        </is>
      </c>
      <c r="E11">
        <f>B10+C10-D10</f>
        <v/>
      </c>
      <c r="H11">
        <f>E10+F10-G10</f>
        <v/>
      </c>
      <c r="K11">
        <f>H10+I10-J10</f>
        <v/>
      </c>
      <c r="N11">
        <f>K10+L10-M10</f>
        <v/>
      </c>
      <c r="O11">
        <f>D10+G10+J10+M10</f>
        <v/>
      </c>
    </row>
    <row r="12">
      <c r="A12" t="inlineStr">
        <is>
          <t>Variance</t>
        </is>
      </c>
      <c r="O12">
        <f>O13-N13</f>
        <v/>
      </c>
    </row>
    <row r="13">
      <c r="A13" t="inlineStr">
        <is>
          <t>GL Balance</t>
        </is>
      </c>
      <c r="E13" t="n">
        <v>32375</v>
      </c>
      <c r="H13" t="n">
        <v>40875</v>
      </c>
      <c r="K13" t="n">
        <v>40375</v>
      </c>
      <c r="N13" t="n">
        <v>29875</v>
      </c>
      <c r="O13">
        <f>O10-O11</f>
        <v/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Orchid Health Systems</t>
        </is>
      </c>
    </row>
    <row r="2">
      <c r="A2" t="inlineStr">
        <is>
          <t>Leasehold Improvements #1465 as of 9/30/2025</t>
        </is>
      </c>
    </row>
    <row r="3">
      <c r="A3" t="inlineStr">
        <is>
          <t>Project cost activity from June through September 2025</t>
        </is>
      </c>
    </row>
    <row r="4">
      <c r="A4" t="inlineStr">
        <is>
          <t>Vendor</t>
        </is>
      </c>
      <c r="B4" t="inlineStr">
        <is>
          <t>Beginning Balance</t>
        </is>
      </c>
      <c r="C4" t="inlineStr">
        <is>
          <t>Jun</t>
        </is>
      </c>
      <c r="D4" t="inlineStr">
        <is>
          <t>Jun</t>
        </is>
      </c>
      <c r="E4" t="inlineStr">
        <is>
          <t>Jun</t>
        </is>
      </c>
      <c r="F4" t="inlineStr">
        <is>
          <t>Jul</t>
        </is>
      </c>
      <c r="G4" t="inlineStr">
        <is>
          <t>Jul</t>
        </is>
      </c>
      <c r="H4" t="inlineStr">
        <is>
          <t>Jul</t>
        </is>
      </c>
      <c r="I4" t="inlineStr">
        <is>
          <t>Aug</t>
        </is>
      </c>
      <c r="J4" t="inlineStr">
        <is>
          <t>Aug</t>
        </is>
      </c>
      <c r="K4" t="inlineStr">
        <is>
          <t>Aug</t>
        </is>
      </c>
      <c r="L4" t="inlineStr">
        <is>
          <t>Sep</t>
        </is>
      </c>
      <c r="M4" t="inlineStr">
        <is>
          <t>Sep</t>
        </is>
      </c>
      <c r="N4" t="inlineStr">
        <is>
          <t>Sep</t>
        </is>
      </c>
      <c r="O4" t="inlineStr">
        <is>
          <t>Useful Life Months</t>
        </is>
      </c>
      <c r="P4" t="inlineStr">
        <is>
          <t>Notes</t>
        </is>
      </c>
      <c r="Q4" t="inlineStr">
        <is>
          <t>Source Account</t>
        </is>
      </c>
    </row>
    <row r="5">
      <c r="C5" t="inlineStr">
        <is>
          <t>Cap Adds</t>
        </is>
      </c>
      <c r="D5" t="inlineStr">
        <is>
          <t>Amortization</t>
        </is>
      </c>
      <c r="E5" t="inlineStr">
        <is>
          <t>Ending Balance</t>
        </is>
      </c>
      <c r="F5" t="inlineStr">
        <is>
          <t>Cap Adds</t>
        </is>
      </c>
      <c r="G5" t="inlineStr">
        <is>
          <t>Amortization</t>
        </is>
      </c>
      <c r="H5" t="inlineStr">
        <is>
          <t>Ending Balance</t>
        </is>
      </c>
      <c r="I5" t="inlineStr">
        <is>
          <t>Cap Adds</t>
        </is>
      </c>
      <c r="J5" t="inlineStr">
        <is>
          <t>Amortization</t>
        </is>
      </c>
      <c r="K5" t="inlineStr">
        <is>
          <t>Ending Balance</t>
        </is>
      </c>
      <c r="L5" t="inlineStr">
        <is>
          <t>Cap Adds</t>
        </is>
      </c>
      <c r="M5" t="inlineStr">
        <is>
          <t>Amortization</t>
        </is>
      </c>
      <c r="N5" t="inlineStr">
        <is>
          <t>Ending Balance</t>
        </is>
      </c>
    </row>
    <row r="6">
      <c r="A6" t="inlineStr">
        <is>
          <t>East Wing Buildout</t>
        </is>
      </c>
      <c r="B6" t="n">
        <v>0</v>
      </c>
      <c r="C6" t="n">
        <v>18000</v>
      </c>
      <c r="D6" t="n">
        <v>1500</v>
      </c>
      <c r="E6" t="n">
        <v>16500</v>
      </c>
      <c r="F6" t="n">
        <v>0</v>
      </c>
      <c r="G6" t="n">
        <v>1500</v>
      </c>
      <c r="H6" t="n">
        <v>15000</v>
      </c>
      <c r="I6" t="n">
        <v>0</v>
      </c>
      <c r="J6" t="n">
        <v>1500</v>
      </c>
      <c r="K6" t="n">
        <v>13500</v>
      </c>
      <c r="L6" t="n">
        <v>0</v>
      </c>
      <c r="M6" t="n">
        <v>1500</v>
      </c>
      <c r="N6" t="n">
        <v>12000</v>
      </c>
      <c r="O6" t="n">
        <v>12</v>
      </c>
      <c r="P6" t="inlineStr">
        <is>
          <t>HQ expansion</t>
        </is>
      </c>
      <c r="Q6" t="n">
        <v>1465</v>
      </c>
    </row>
    <row r="7">
      <c r="A7" t="inlineStr">
        <is>
          <t>Fiber Cabling</t>
        </is>
      </c>
      <c r="B7" t="n">
        <v>0</v>
      </c>
      <c r="C7" t="n">
        <v>0</v>
      </c>
      <c r="D7" t="n">
        <v>0</v>
      </c>
      <c r="E7" t="n">
        <v>0</v>
      </c>
      <c r="F7" t="n">
        <v>8000</v>
      </c>
      <c r="G7" t="n">
        <v>1000</v>
      </c>
      <c r="H7" t="n">
        <v>7000</v>
      </c>
      <c r="I7" t="n">
        <v>0</v>
      </c>
      <c r="J7" t="n">
        <v>1000</v>
      </c>
      <c r="K7" t="n">
        <v>6000</v>
      </c>
      <c r="L7" t="n">
        <v>4000</v>
      </c>
      <c r="M7" t="n">
        <v>1500</v>
      </c>
      <c r="N7" t="n">
        <v>8500</v>
      </c>
      <c r="O7" t="n">
        <v>8</v>
      </c>
      <c r="P7" t="inlineStr">
        <is>
          <t>Network upgrades</t>
        </is>
      </c>
      <c r="Q7" t="n">
        <v>1465</v>
      </c>
    </row>
    <row r="8">
      <c r="A8" t="inlineStr">
        <is>
          <t>Lobby Signage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6000</v>
      </c>
      <c r="J8" t="n">
        <v>750</v>
      </c>
      <c r="K8" t="n">
        <v>5250</v>
      </c>
      <c r="L8" t="n">
        <v>0</v>
      </c>
      <c r="M8" t="n">
        <v>750</v>
      </c>
      <c r="N8" t="n">
        <v>4500</v>
      </c>
      <c r="O8" t="n">
        <v>8</v>
      </c>
      <c r="P8" t="inlineStr">
        <is>
          <t>Brand refresh</t>
        </is>
      </c>
      <c r="Q8" t="n">
        <v>1465</v>
      </c>
    </row>
    <row r="9">
      <c r="A9" t="inlineStr">
        <is>
          <t>Period Totals</t>
        </is>
      </c>
      <c r="B9">
        <f>SUM(B6:B8)</f>
        <v/>
      </c>
      <c r="C9">
        <f>SUM(C6:C8)</f>
        <v/>
      </c>
      <c r="D9">
        <f>SUM(D6:D8)</f>
        <v/>
      </c>
      <c r="E9">
        <f>SUM(E6:E8)</f>
        <v/>
      </c>
      <c r="F9">
        <f>SUM(F6:F8)</f>
        <v/>
      </c>
      <c r="G9">
        <f>SUM(G6:G8)</f>
        <v/>
      </c>
      <c r="H9">
        <f>SUM(H6:H8)</f>
        <v/>
      </c>
      <c r="I9">
        <f>SUM(I6:I8)</f>
        <v/>
      </c>
      <c r="J9">
        <f>SUM(J6:J8)</f>
        <v/>
      </c>
      <c r="K9">
        <f>SUM(K6:K8)</f>
        <v/>
      </c>
      <c r="L9">
        <f>SUM(L6:L8)</f>
        <v/>
      </c>
      <c r="M9">
        <f>SUM(M6:M8)</f>
        <v/>
      </c>
      <c r="N9">
        <f>SUM(N6:N8)</f>
        <v/>
      </c>
      <c r="O9">
        <f>C9+F9+I9+L9</f>
        <v/>
      </c>
    </row>
    <row r="10">
      <c r="A10" t="inlineStr">
        <is>
          <t>Ending Balance</t>
        </is>
      </c>
      <c r="E10">
        <f>B9+C9-D9</f>
        <v/>
      </c>
      <c r="H10">
        <f>E9+F9-G9</f>
        <v/>
      </c>
      <c r="K10">
        <f>H9+I9-J9</f>
        <v/>
      </c>
      <c r="N10">
        <f>K9+L9-M9</f>
        <v/>
      </c>
      <c r="O10">
        <f>D9+G9+J9+M9</f>
        <v/>
      </c>
    </row>
    <row r="11">
      <c r="A11" t="inlineStr">
        <is>
          <t>Variance</t>
        </is>
      </c>
      <c r="O11">
        <f>O12-N12</f>
        <v/>
      </c>
    </row>
    <row r="12">
      <c r="A12" t="inlineStr">
        <is>
          <t>GL Balance</t>
        </is>
      </c>
      <c r="E12" t="n">
        <v>16500</v>
      </c>
      <c r="H12" t="n">
        <v>22000</v>
      </c>
      <c r="K12" t="n">
        <v>24750</v>
      </c>
      <c r="N12" t="n">
        <v>25000</v>
      </c>
      <c r="O12">
        <f>O9-O10</f>
        <v/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2026-03-25T06:39:29Z</dcterms:created>
  <dcterms:modified xsi:type="dcterms:W3CDTF">2026-03-25T06:39:29Z</dcterms:modified>
</cp:coreProperties>
</file>