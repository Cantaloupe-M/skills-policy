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rual Summary" sheetId="1" state="visible" r:id="rId1"/>
    <sheet name="Payroll Accrual #2105" sheetId="2" state="visible" r:id="rId2"/>
    <sheet name="Bonus Accrual #21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Cedar Ridge Manufacturing</t>
        </is>
      </c>
    </row>
    <row r="2">
      <c r="A2" t="inlineStr">
        <is>
          <t>Accrual Rollforward Summary</t>
        </is>
      </c>
    </row>
    <row r="3">
      <c r="A3" t="inlineStr">
        <is>
          <t>For the period ending 11/30/2025</t>
        </is>
      </c>
    </row>
    <row r="4"/>
    <row r="5">
      <c r="A5" t="inlineStr">
        <is>
          <t>Description</t>
        </is>
      </c>
      <c r="B5" t="inlineStr">
        <is>
          <t>Amount</t>
        </is>
      </c>
    </row>
    <row r="6">
      <c r="A6" t="inlineStr">
        <is>
          <t>Payroll Accrual (Acct 2105)</t>
        </is>
      </c>
    </row>
    <row r="7">
      <c r="A7" t="inlineStr">
        <is>
          <t>Payroll accruals booked in period</t>
        </is>
      </c>
      <c r="B7">
        <f>'Payroll Accrual #2105'!L9</f>
        <v/>
      </c>
    </row>
    <row r="8">
      <c r="A8" t="inlineStr">
        <is>
          <t>Payroll releases in period</t>
        </is>
      </c>
      <c r="B8">
        <f>'Payroll Accrual #2105'!L10</f>
        <v/>
      </c>
    </row>
    <row r="9">
      <c r="A9" t="inlineStr">
        <is>
          <t>Payroll GL balance at 11/30/2025</t>
        </is>
      </c>
      <c r="B9">
        <f>'Payroll Accrual #2105'!L12</f>
        <v/>
      </c>
    </row>
    <row r="10"/>
    <row r="11">
      <c r="A11" t="inlineStr">
        <is>
          <t>Bonus Accrual (Acct 2110)</t>
        </is>
      </c>
    </row>
    <row r="12">
      <c r="A12" t="inlineStr">
        <is>
          <t>Bonus accruals booked in period</t>
        </is>
      </c>
      <c r="B12">
        <f>'Bonus Accrual #2110'!L9</f>
        <v/>
      </c>
    </row>
    <row r="13">
      <c r="A13" t="inlineStr">
        <is>
          <t>Bonus releases in period</t>
        </is>
      </c>
      <c r="B13">
        <f>'Bonus Accrual #2110'!L10</f>
        <v/>
      </c>
    </row>
    <row r="14">
      <c r="A14" t="inlineStr">
        <is>
          <t>Bonus GL balance at 11/30/2025</t>
        </is>
      </c>
      <c r="B14">
        <f>'Bonus Accrual #2110'!L12</f>
        <v/>
      </c>
    </row>
    <row r="15"/>
    <row r="16">
      <c r="A16" t="inlineStr">
        <is>
          <t>Total accrual balance at 11/30/2025</t>
        </is>
      </c>
      <c r="B16">
        <f>B9+B14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Cedar Ridge Manufacturing</t>
        </is>
      </c>
    </row>
    <row r="2">
      <c r="A2" t="inlineStr">
        <is>
          <t>Payroll Accrual #2105 as of 11/30/2025</t>
        </is>
      </c>
    </row>
    <row r="3">
      <c r="A3" t="inlineStr">
        <is>
          <t>Accrual activity from September through November 2025</t>
        </is>
      </c>
    </row>
    <row r="4">
      <c r="A4" t="inlineStr">
        <is>
          <t>Accrual Bucket</t>
        </is>
      </c>
      <c r="B4" t="inlineStr">
        <is>
          <t>Beginning Balance</t>
        </is>
      </c>
      <c r="C4" t="inlineStr">
        <is>
          <t>Sep</t>
        </is>
      </c>
      <c r="D4" t="inlineStr">
        <is>
          <t>Sep</t>
        </is>
      </c>
      <c r="E4" t="inlineStr">
        <is>
          <t>Sep</t>
        </is>
      </c>
      <c r="F4" t="inlineStr">
        <is>
          <t>Oct</t>
        </is>
      </c>
      <c r="G4" t="inlineStr">
        <is>
          <t>Oct</t>
        </is>
      </c>
      <c r="H4" t="inlineStr">
        <is>
          <t>Oct</t>
        </is>
      </c>
      <c r="I4" t="inlineStr">
        <is>
          <t>Nov</t>
        </is>
      </c>
      <c r="J4" t="inlineStr">
        <is>
          <t>Nov</t>
        </is>
      </c>
      <c r="K4" t="inlineStr">
        <is>
          <t>Nov</t>
        </is>
      </c>
      <c r="L4" t="inlineStr">
        <is>
          <t>Reserve Months</t>
        </is>
      </c>
      <c r="M4" t="inlineStr">
        <is>
          <t>Notes</t>
        </is>
      </c>
      <c r="N4" t="inlineStr">
        <is>
          <t>Department Code</t>
        </is>
      </c>
    </row>
    <row r="5">
      <c r="C5" t="inlineStr">
        <is>
          <t>Accruals</t>
        </is>
      </c>
      <c r="D5" t="inlineStr">
        <is>
          <t>Releases</t>
        </is>
      </c>
      <c r="E5" t="inlineStr">
        <is>
          <t>Ending Balance</t>
        </is>
      </c>
      <c r="F5" t="inlineStr">
        <is>
          <t>Accruals</t>
        </is>
      </c>
      <c r="G5" t="inlineStr">
        <is>
          <t>Releases</t>
        </is>
      </c>
      <c r="H5" t="inlineStr">
        <is>
          <t>Ending Balance</t>
        </is>
      </c>
      <c r="I5" t="inlineStr">
        <is>
          <t>Accruals</t>
        </is>
      </c>
      <c r="J5" t="inlineStr">
        <is>
          <t>Releases</t>
        </is>
      </c>
      <c r="K5" t="inlineStr">
        <is>
          <t>Ending Balance</t>
        </is>
      </c>
    </row>
    <row r="6">
      <c r="A6" t="inlineStr">
        <is>
          <t>Plant A payroll</t>
        </is>
      </c>
      <c r="B6" t="n">
        <v>0</v>
      </c>
      <c r="C6" t="n">
        <v>28000</v>
      </c>
      <c r="D6" t="n">
        <v>26000</v>
      </c>
      <c r="E6" t="n">
        <v>2000</v>
      </c>
      <c r="F6" t="n">
        <v>28500</v>
      </c>
      <c r="G6" t="n">
        <v>28000</v>
      </c>
      <c r="H6" t="n">
        <v>2500</v>
      </c>
      <c r="I6" t="n">
        <v>29000</v>
      </c>
      <c r="J6" t="n">
        <v>28500</v>
      </c>
      <c r="K6" t="n">
        <v>3000</v>
      </c>
      <c r="L6" t="n">
        <v>3</v>
      </c>
      <c r="M6" t="inlineStr">
        <is>
          <t>Factory payroll timing</t>
        </is>
      </c>
      <c r="N6" t="n">
        <v>2105</v>
      </c>
    </row>
    <row r="7">
      <c r="A7" t="inlineStr">
        <is>
          <t>Plant B payroll</t>
        </is>
      </c>
      <c r="B7" t="n">
        <v>0</v>
      </c>
      <c r="C7" t="n">
        <v>16000</v>
      </c>
      <c r="D7" t="n">
        <v>15000</v>
      </c>
      <c r="E7" t="n">
        <v>1000</v>
      </c>
      <c r="F7" t="n">
        <v>16500</v>
      </c>
      <c r="G7" t="n">
        <v>16000</v>
      </c>
      <c r="H7" t="n">
        <v>1500</v>
      </c>
      <c r="I7" t="n">
        <v>17000</v>
      </c>
      <c r="J7" t="n">
        <v>16500</v>
      </c>
      <c r="K7" t="n">
        <v>2000</v>
      </c>
      <c r="L7" t="n">
        <v>3</v>
      </c>
      <c r="M7" t="inlineStr">
        <is>
          <t>Factory payroll timing</t>
        </is>
      </c>
      <c r="N7" t="n">
        <v>2105</v>
      </c>
    </row>
    <row r="8">
      <c r="A8" t="inlineStr">
        <is>
          <t>Benefits tax</t>
        </is>
      </c>
      <c r="B8" t="n">
        <v>0</v>
      </c>
      <c r="C8" t="n">
        <v>4500</v>
      </c>
      <c r="D8" t="n">
        <v>4000</v>
      </c>
      <c r="E8" t="n">
        <v>500</v>
      </c>
      <c r="F8" t="n">
        <v>4600</v>
      </c>
      <c r="G8" t="n">
        <v>4500</v>
      </c>
      <c r="H8" t="n">
        <v>600</v>
      </c>
      <c r="I8" t="n">
        <v>4700</v>
      </c>
      <c r="J8" t="n">
        <v>4600</v>
      </c>
      <c r="K8" t="n">
        <v>700</v>
      </c>
      <c r="L8" t="n">
        <v>3</v>
      </c>
      <c r="M8" t="inlineStr">
        <is>
          <t>Payroll tax accrual</t>
        </is>
      </c>
      <c r="N8" t="n">
        <v>2105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C9+F9+I9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L10">
        <f>D9+G9+J9</f>
        <v/>
      </c>
    </row>
    <row r="11">
      <c r="A11" t="inlineStr">
        <is>
          <t>Variance</t>
        </is>
      </c>
      <c r="L11">
        <f>L12-K12</f>
        <v/>
      </c>
    </row>
    <row r="12">
      <c r="A12" t="inlineStr">
        <is>
          <t>GL Balance</t>
        </is>
      </c>
      <c r="E12" t="n">
        <v>3500</v>
      </c>
      <c r="H12" t="n">
        <v>4600</v>
      </c>
      <c r="K12" t="n">
        <v>5700</v>
      </c>
      <c r="L12">
        <f>L9-L10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Cedar Ridge Manufacturing</t>
        </is>
      </c>
    </row>
    <row r="2">
      <c r="A2" t="inlineStr">
        <is>
          <t>Bonus Accrual #2110 as of 11/30/2025</t>
        </is>
      </c>
    </row>
    <row r="3">
      <c r="A3" t="inlineStr">
        <is>
          <t>Accrual activity from September through November 2025</t>
        </is>
      </c>
    </row>
    <row r="4">
      <c r="A4" t="inlineStr">
        <is>
          <t>Accrual Bucket</t>
        </is>
      </c>
      <c r="B4" t="inlineStr">
        <is>
          <t>Beginning Balance</t>
        </is>
      </c>
      <c r="C4" t="inlineStr">
        <is>
          <t>Sep</t>
        </is>
      </c>
      <c r="D4" t="inlineStr">
        <is>
          <t>Sep</t>
        </is>
      </c>
      <c r="E4" t="inlineStr">
        <is>
          <t>Sep</t>
        </is>
      </c>
      <c r="F4" t="inlineStr">
        <is>
          <t>Oct</t>
        </is>
      </c>
      <c r="G4" t="inlineStr">
        <is>
          <t>Oct</t>
        </is>
      </c>
      <c r="H4" t="inlineStr">
        <is>
          <t>Oct</t>
        </is>
      </c>
      <c r="I4" t="inlineStr">
        <is>
          <t>Nov</t>
        </is>
      </c>
      <c r="J4" t="inlineStr">
        <is>
          <t>Nov</t>
        </is>
      </c>
      <c r="K4" t="inlineStr">
        <is>
          <t>Nov</t>
        </is>
      </c>
      <c r="L4" t="inlineStr">
        <is>
          <t>Reserve Months</t>
        </is>
      </c>
      <c r="M4" t="inlineStr">
        <is>
          <t>Notes</t>
        </is>
      </c>
      <c r="N4" t="inlineStr">
        <is>
          <t>Department Code</t>
        </is>
      </c>
    </row>
    <row r="5">
      <c r="C5" t="inlineStr">
        <is>
          <t>Accruals</t>
        </is>
      </c>
      <c r="D5" t="inlineStr">
        <is>
          <t>Releases</t>
        </is>
      </c>
      <c r="E5" t="inlineStr">
        <is>
          <t>Ending Balance</t>
        </is>
      </c>
      <c r="F5" t="inlineStr">
        <is>
          <t>Accruals</t>
        </is>
      </c>
      <c r="G5" t="inlineStr">
        <is>
          <t>Releases</t>
        </is>
      </c>
      <c r="H5" t="inlineStr">
        <is>
          <t>Ending Balance</t>
        </is>
      </c>
      <c r="I5" t="inlineStr">
        <is>
          <t>Accruals</t>
        </is>
      </c>
      <c r="J5" t="inlineStr">
        <is>
          <t>Releases</t>
        </is>
      </c>
      <c r="K5" t="inlineStr">
        <is>
          <t>Ending Balance</t>
        </is>
      </c>
    </row>
    <row r="6">
      <c r="A6" t="inlineStr">
        <is>
          <t>Corporate bonus pool</t>
        </is>
      </c>
      <c r="B6" t="n">
        <v>0</v>
      </c>
      <c r="C6" t="n">
        <v>12000</v>
      </c>
      <c r="D6" t="n">
        <v>2000</v>
      </c>
      <c r="E6" t="n">
        <v>10000</v>
      </c>
      <c r="F6" t="n">
        <v>13000</v>
      </c>
      <c r="G6" t="n">
        <v>2500</v>
      </c>
      <c r="H6" t="n">
        <v>20500</v>
      </c>
      <c r="I6" t="n">
        <v>14000</v>
      </c>
      <c r="J6" t="n">
        <v>3000</v>
      </c>
      <c r="K6" t="n">
        <v>31500</v>
      </c>
      <c r="L6" t="n">
        <v>6</v>
      </c>
      <c r="M6" t="inlineStr">
        <is>
          <t>Annual incentive accrual</t>
        </is>
      </c>
      <c r="N6" t="n">
        <v>2110</v>
      </c>
    </row>
    <row r="7">
      <c r="A7" t="inlineStr">
        <is>
          <t>Sales SPIFF plan</t>
        </is>
      </c>
      <c r="B7" t="n">
        <v>0</v>
      </c>
      <c r="C7" t="n">
        <v>5000</v>
      </c>
      <c r="D7" t="n">
        <v>1000</v>
      </c>
      <c r="E7" t="n">
        <v>4000</v>
      </c>
      <c r="F7" t="n">
        <v>5500</v>
      </c>
      <c r="G7" t="n">
        <v>1500</v>
      </c>
      <c r="H7" t="n">
        <v>8000</v>
      </c>
      <c r="I7" t="n">
        <v>5200</v>
      </c>
      <c r="J7" t="n">
        <v>1800</v>
      </c>
      <c r="K7" t="n">
        <v>11400</v>
      </c>
      <c r="L7" t="n">
        <v>4</v>
      </c>
      <c r="M7" t="inlineStr">
        <is>
          <t>Quarterly SPIFF program</t>
        </is>
      </c>
      <c r="N7" t="n">
        <v>2110</v>
      </c>
    </row>
    <row r="8">
      <c r="A8" t="inlineStr">
        <is>
          <t>Retention awards</t>
        </is>
      </c>
      <c r="B8" t="n">
        <v>0</v>
      </c>
      <c r="C8" t="n">
        <v>3000</v>
      </c>
      <c r="D8" t="n">
        <v>0</v>
      </c>
      <c r="E8" t="n">
        <v>3000</v>
      </c>
      <c r="F8" t="n">
        <v>0</v>
      </c>
      <c r="G8" t="n">
        <v>500</v>
      </c>
      <c r="H8" t="n">
        <v>2500</v>
      </c>
      <c r="I8" t="n">
        <v>6000</v>
      </c>
      <c r="J8" t="n">
        <v>1000</v>
      </c>
      <c r="K8" t="n">
        <v>7500</v>
      </c>
      <c r="L8" t="n">
        <v>6</v>
      </c>
      <c r="M8" t="inlineStr">
        <is>
          <t>People ops retention plan</t>
        </is>
      </c>
      <c r="N8" t="n">
        <v>2110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C9+F9+I9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L10">
        <f>D9+G9+J9</f>
        <v/>
      </c>
    </row>
    <row r="11">
      <c r="A11" t="inlineStr">
        <is>
          <t>Variance</t>
        </is>
      </c>
      <c r="L11">
        <f>L12-K12</f>
        <v/>
      </c>
    </row>
    <row r="12">
      <c r="A12" t="inlineStr">
        <is>
          <t>GL Balance</t>
        </is>
      </c>
      <c r="E12" t="n">
        <v>17000</v>
      </c>
      <c r="H12" t="n">
        <v>31000</v>
      </c>
      <c r="K12" t="n">
        <v>50400</v>
      </c>
      <c r="L12">
        <f>L9-L10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2026-03-25T06:39:28Z</dcterms:created>
  <dcterms:modified xsi:type="dcterms:W3CDTF">2026-03-25T06:39:28Z</dcterms:modified>
</cp:coreProperties>
</file>